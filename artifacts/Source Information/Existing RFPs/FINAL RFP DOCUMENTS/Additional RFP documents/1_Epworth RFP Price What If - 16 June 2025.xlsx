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0"/>
  <workbookPr/>
  <mc:AlternateContent xmlns:mc="http://schemas.openxmlformats.org/markup-compatibility/2006">
    <mc:Choice Requires="x15">
      <x15ac:absPath xmlns:x15ac="http://schemas.microsoft.com/office/spreadsheetml/2010/11/ac" url="https://inteliacomau.sharepoint.com/sites/inteliaSales/Shared Documents/General/2. Customers/Epworth/RFP Documents/FINAL RFP DOCUMENTS/Additional RFP documents/"/>
    </mc:Choice>
  </mc:AlternateContent>
  <xr:revisionPtr revIDLastSave="190" documentId="8_{E80FBEF2-27BC-4966-9F30-7C87D7A23C4E}" xr6:coauthVersionLast="47" xr6:coauthVersionMax="47" xr10:uidLastSave="{7CAE7A51-4609-4DF8-8D6E-5CFC84B0F9E9}"/>
  <bookViews>
    <workbookView xWindow="-110" yWindow="-110" windowWidth="19420" windowHeight="11500" xr2:uid="{8E0BB3E8-5D06-4EF6-9812-87980AA8D23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4" i="1" l="1"/>
  <c r="M84" i="1" s="1"/>
  <c r="K83" i="1"/>
  <c r="M83" i="1" s="1"/>
  <c r="K82" i="1"/>
  <c r="M82" i="1" s="1"/>
  <c r="K81" i="1"/>
  <c r="M81" i="1" s="1"/>
  <c r="K80" i="1"/>
  <c r="K79" i="1"/>
  <c r="K78" i="1"/>
  <c r="M85" i="1"/>
  <c r="M80" i="1"/>
  <c r="M79" i="1"/>
  <c r="M78" i="1"/>
  <c r="K72" i="1"/>
  <c r="M72" i="1" s="1"/>
  <c r="K71" i="1"/>
  <c r="M71" i="1" s="1"/>
  <c r="K70" i="1"/>
  <c r="M70" i="1" s="1"/>
  <c r="K69" i="1"/>
  <c r="M69" i="1" s="1"/>
  <c r="K68" i="1"/>
  <c r="M68" i="1" s="1"/>
  <c r="K67" i="1"/>
  <c r="K66" i="1"/>
  <c r="M73" i="1"/>
  <c r="M67" i="1"/>
  <c r="M66" i="1"/>
  <c r="Q34" i="1"/>
  <c r="Q32" i="1"/>
  <c r="Q36" i="1"/>
  <c r="K59" i="1"/>
  <c r="M59" i="1" s="1"/>
  <c r="K58" i="1"/>
  <c r="K57" i="1"/>
  <c r="K56" i="1"/>
  <c r="M56" i="1" s="1"/>
  <c r="K55" i="1"/>
  <c r="M55" i="1" s="1"/>
  <c r="K54" i="1"/>
  <c r="M54" i="1" s="1"/>
  <c r="K53" i="1"/>
  <c r="M53" i="1" s="1"/>
  <c r="K41" i="1"/>
  <c r="K47" i="1"/>
  <c r="M47" i="1" s="1"/>
  <c r="K46" i="1"/>
  <c r="M46" i="1" s="1"/>
  <c r="K45" i="1"/>
  <c r="M45" i="1" s="1"/>
  <c r="K44" i="1"/>
  <c r="M44" i="1" s="1"/>
  <c r="K43" i="1"/>
  <c r="K42" i="1"/>
  <c r="M42" i="1" s="1"/>
  <c r="K29" i="1"/>
  <c r="M60" i="1"/>
  <c r="M58" i="1"/>
  <c r="M57" i="1"/>
  <c r="M48" i="1"/>
  <c r="M43" i="1"/>
  <c r="M41" i="1"/>
  <c r="K35" i="1"/>
  <c r="K34" i="1"/>
  <c r="K33" i="1"/>
  <c r="M33" i="1" s="1"/>
  <c r="K32" i="1"/>
  <c r="K31" i="1"/>
  <c r="M31" i="1" s="1"/>
  <c r="K30" i="1"/>
  <c r="M30" i="1" s="1"/>
  <c r="M29" i="1"/>
  <c r="M36" i="1"/>
  <c r="M35" i="1"/>
  <c r="M34" i="1"/>
  <c r="M32" i="1"/>
  <c r="E12" i="1"/>
  <c r="E14" i="1"/>
  <c r="E36" i="1"/>
  <c r="E42" i="1"/>
  <c r="E43" i="1"/>
  <c r="E44" i="1"/>
  <c r="E45" i="1"/>
  <c r="E46" i="1"/>
  <c r="E47" i="1"/>
  <c r="E48" i="1"/>
  <c r="E41" i="1"/>
  <c r="E23" i="1"/>
  <c r="E35" i="1"/>
  <c r="E34" i="1"/>
  <c r="E33" i="1"/>
  <c r="E32" i="1"/>
  <c r="E31" i="1"/>
  <c r="E30" i="1"/>
  <c r="E29" i="1"/>
  <c r="E24" i="1"/>
  <c r="E22" i="1"/>
  <c r="E21" i="1"/>
  <c r="E20" i="1"/>
  <c r="E19" i="1"/>
  <c r="E18" i="1"/>
  <c r="E17" i="1"/>
  <c r="E11" i="1"/>
  <c r="E7" i="1"/>
  <c r="E8" i="1"/>
  <c r="E9" i="1"/>
  <c r="E10" i="1"/>
  <c r="E13" i="1"/>
  <c r="E6" i="1"/>
  <c r="M86" i="1" l="1"/>
  <c r="P44" i="1" s="1"/>
  <c r="Q44" i="1" s="1"/>
  <c r="M74" i="1"/>
  <c r="P42" i="1" s="1"/>
  <c r="Q42" i="1" s="1"/>
  <c r="M61" i="1"/>
  <c r="P40" i="1" s="1"/>
  <c r="Q40" i="1" s="1"/>
  <c r="M49" i="1"/>
  <c r="P38" i="1" s="1"/>
  <c r="Q38" i="1" s="1"/>
  <c r="M37" i="1"/>
  <c r="E49" i="1"/>
  <c r="B52" i="1" s="1"/>
  <c r="E52" i="1" s="1"/>
  <c r="E37" i="1"/>
  <c r="G37" i="1" s="1"/>
  <c r="E25" i="1"/>
  <c r="G25" i="1" s="1"/>
</calcChain>
</file>

<file path=xl/sharedStrings.xml><?xml version="1.0" encoding="utf-8"?>
<sst xmlns="http://schemas.openxmlformats.org/spreadsheetml/2006/main" count="100" uniqueCount="50">
  <si>
    <t>Epworth RFP Pricing - 16 June 2025</t>
  </si>
  <si>
    <t>Option</t>
  </si>
  <si>
    <t>Submitted 5th June 2025:</t>
  </si>
  <si>
    <t>Price Submitted - Original W'fall Plan</t>
  </si>
  <si>
    <t>Rate</t>
  </si>
  <si>
    <t>Days</t>
  </si>
  <si>
    <t>Total</t>
  </si>
  <si>
    <t>58 weeks total</t>
  </si>
  <si>
    <t>Engagement Lead / Project Manager</t>
  </si>
  <si>
    <t>Business Analyst</t>
  </si>
  <si>
    <t>Cloud Architect</t>
  </si>
  <si>
    <t>Data Architect</t>
  </si>
  <si>
    <t>Senior Data Engineer</t>
  </si>
  <si>
    <t xml:space="preserve">6 resourcers </t>
  </si>
  <si>
    <t>Data Engineer</t>
  </si>
  <si>
    <t>Hypercare</t>
  </si>
  <si>
    <t>"Up to 2 months Hypercare" was presented, not just 2 weeks</t>
  </si>
  <si>
    <t>Contingency</t>
  </si>
  <si>
    <t>No discount, rate card</t>
  </si>
  <si>
    <t>Price Updated - 14 Delivery Sprints</t>
  </si>
  <si>
    <t>48 weeks total</t>
  </si>
  <si>
    <t>3 x intelia Snr Data Engineers + 3 x intelia Data Engineers</t>
  </si>
  <si>
    <t xml:space="preserve">Iterative approach reduces effort from 58 weeks to 48, </t>
  </si>
  <si>
    <t>Saving from original proposal</t>
  </si>
  <si>
    <t>Including 2 x Epworth DE's</t>
  </si>
  <si>
    <t>14 sprints</t>
  </si>
  <si>
    <t>3 x intelia Snr Data Engineers + 1 x intelia Data Engineer</t>
  </si>
  <si>
    <t xml:space="preserve">ORIGINAL PRICE </t>
  </si>
  <si>
    <t>% Reduction</t>
  </si>
  <si>
    <t>Using 2x their people for build phase - crawl walk run/shadow</t>
  </si>
  <si>
    <t>of Original Price</t>
  </si>
  <si>
    <t>54-44weeks</t>
  </si>
  <si>
    <t>Remove 2 engineers</t>
  </si>
  <si>
    <t>5% on our resources</t>
  </si>
  <si>
    <t>7.5% on our resources</t>
  </si>
  <si>
    <t>Role - Epworth DEs Update</t>
  </si>
  <si>
    <t>What-if planning (remember - still fixed proce)</t>
  </si>
  <si>
    <t>10% on our resources</t>
  </si>
  <si>
    <t>All rates reduced</t>
  </si>
  <si>
    <t>PM + BA only "billed" out at 120 days each</t>
  </si>
  <si>
    <t>12.5% on our resources</t>
  </si>
  <si>
    <t>Using their people + halving PM and BA same out put</t>
  </si>
  <si>
    <t>15% on our resources</t>
  </si>
  <si>
    <t>Saving</t>
  </si>
  <si>
    <t xml:space="preserve"> + Google Cloud Skills Lic</t>
  </si>
  <si>
    <t>Google credit</t>
  </si>
  <si>
    <t>Epworth resources we can leverage to reduce our price: 2 x data engineers. Any other resource will simply "bolster" our team, not replace</t>
  </si>
  <si>
    <t>Should Epworth wish to manage the project themselves (ie: remove intelia PM) this could be considered however we cannot offer fixed price as they then take accountability for delivery, not intelia (we could offer them resource augmentation T&amp;M instead)</t>
  </si>
  <si>
    <t>100 x Google Cloud Skills Boost licenses, for 24 months = $59,800</t>
  </si>
  <si>
    <t>$500 google consumption 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</si>
</sst>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164" formatCode="_-&quot;$&quot;* #,##0.00_-;\-&quot;$&quot;* #,##0.00_-;_-&quot;$&quot;* &quot;-&quot;??_-;_-@_-"/>
    <numFmt numFmtId="165" formatCode="_-&quot;$&quot;* #,##0_-;\-&quot;$&quot;* #,##0_-;_-&quot;$&quot;* &quot;-&quot;??_-;_-@_-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165" fontId="0" fillId="0" borderId="0" xfId="1" applyNumberFormat="1" applyFont="1" applyAlignment="1">
      <alignment vertical="top"/>
    </xf>
    <xf numFmtId="0" fontId="2" fillId="0" borderId="0" xfId="0" applyFont="1" applyAlignment="1">
      <alignment vertical="top"/>
    </xf>
    <xf numFmtId="165" fontId="2" fillId="0" borderId="0" xfId="1" applyNumberFormat="1" applyFont="1" applyAlignment="1">
      <alignment vertical="top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/>
    </xf>
    <xf numFmtId="165" fontId="0" fillId="0" borderId="1" xfId="1" applyNumberFormat="1" applyFont="1" applyBorder="1" applyAlignment="1">
      <alignment vertical="top"/>
    </xf>
    <xf numFmtId="0" fontId="0" fillId="0" borderId="1" xfId="0" applyBorder="1" applyAlignment="1">
      <alignment horizontal="center" vertical="top"/>
    </xf>
    <xf numFmtId="165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165" fontId="2" fillId="0" borderId="1" xfId="1" applyNumberFormat="1" applyFont="1" applyBorder="1" applyAlignment="1">
      <alignment vertical="top"/>
    </xf>
    <xf numFmtId="6" fontId="0" fillId="0" borderId="0" xfId="0" applyNumberFormat="1" applyAlignment="1">
      <alignment vertical="top"/>
    </xf>
    <xf numFmtId="8" fontId="0" fillId="0" borderId="0" xfId="0" applyNumberFormat="1" applyAlignment="1">
      <alignment vertical="top"/>
    </xf>
    <xf numFmtId="0" fontId="4" fillId="0" borderId="0" xfId="0" applyFont="1"/>
    <xf numFmtId="0" fontId="3" fillId="2" borderId="0" xfId="0" applyFont="1" applyFill="1"/>
    <xf numFmtId="4" fontId="3" fillId="2" borderId="0" xfId="0" applyNumberFormat="1" applyFont="1" applyFill="1"/>
    <xf numFmtId="0" fontId="3" fillId="2" borderId="0" xfId="0" applyFont="1" applyFill="1" applyAlignment="1">
      <alignment horizontal="right"/>
    </xf>
    <xf numFmtId="0" fontId="2" fillId="0" borderId="0" xfId="0" applyFont="1" applyAlignment="1">
      <alignment horizontal="center" vertical="top"/>
    </xf>
    <xf numFmtId="165" fontId="0" fillId="0" borderId="0" xfId="1" applyNumberFormat="1" applyFont="1" applyBorder="1" applyAlignment="1">
      <alignment vertical="top"/>
    </xf>
    <xf numFmtId="0" fontId="0" fillId="3" borderId="0" xfId="0" applyFill="1" applyAlignment="1">
      <alignment vertical="top"/>
    </xf>
    <xf numFmtId="9" fontId="2" fillId="3" borderId="0" xfId="0" applyNumberFormat="1" applyFont="1" applyFill="1" applyAlignment="1">
      <alignment vertical="top"/>
    </xf>
    <xf numFmtId="10" fontId="2" fillId="3" borderId="0" xfId="0" applyNumberFormat="1" applyFont="1" applyFill="1" applyAlignment="1">
      <alignment vertical="top"/>
    </xf>
    <xf numFmtId="0" fontId="2" fillId="3" borderId="1" xfId="0" applyFont="1" applyFill="1" applyBorder="1" applyAlignment="1">
      <alignment horizontal="center" vertical="top"/>
    </xf>
    <xf numFmtId="0" fontId="2" fillId="3" borderId="0" xfId="0" applyFont="1" applyFill="1" applyAlignment="1">
      <alignment horizontal="center" vertical="top"/>
    </xf>
    <xf numFmtId="0" fontId="3" fillId="3" borderId="0" xfId="0" applyFont="1" applyFill="1"/>
    <xf numFmtId="4" fontId="4" fillId="3" borderId="0" xfId="0" applyNumberFormat="1" applyFont="1" applyFill="1"/>
    <xf numFmtId="10" fontId="4" fillId="3" borderId="0" xfId="0" applyNumberFormat="1" applyFont="1" applyFill="1"/>
    <xf numFmtId="0" fontId="4" fillId="3" borderId="0" xfId="0" applyFont="1" applyFill="1"/>
    <xf numFmtId="165" fontId="0" fillId="3" borderId="0" xfId="0" applyNumberFormat="1" applyFill="1" applyAlignment="1">
      <alignment vertical="top"/>
    </xf>
    <xf numFmtId="0" fontId="3" fillId="4" borderId="0" xfId="0" applyFont="1" applyFill="1"/>
    <xf numFmtId="4" fontId="4" fillId="4" borderId="0" xfId="0" applyNumberFormat="1" applyFont="1" applyFill="1"/>
    <xf numFmtId="10" fontId="4" fillId="4" borderId="0" xfId="0" applyNumberFormat="1" applyFont="1" applyFill="1"/>
    <xf numFmtId="4" fontId="3" fillId="3" borderId="0" xfId="0" applyNumberFormat="1" applyFont="1" applyFill="1"/>
    <xf numFmtId="10" fontId="3" fillId="3" borderId="0" xfId="0" applyNumberFormat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CA90C-3DA6-45C1-92A5-BA6A60FA10C2}">
  <dimension ref="A1:Q86"/>
  <sheetViews>
    <sheetView tabSelected="1" topLeftCell="A34" zoomScale="93" zoomScaleNormal="100" workbookViewId="0">
      <selection activeCell="J83" sqref="J83"/>
    </sheetView>
  </sheetViews>
  <sheetFormatPr defaultColWidth="8.85546875" defaultRowHeight="15" customHeight="1"/>
  <cols>
    <col min="1" max="1" width="8.85546875" style="2"/>
    <col min="2" max="2" width="36.5703125" style="1" customWidth="1"/>
    <col min="3" max="3" width="33.42578125" style="1" customWidth="1"/>
    <col min="4" max="4" width="8.85546875" style="2"/>
    <col min="5" max="5" width="11.7109375" style="1" customWidth="1"/>
    <col min="6" max="6" width="8.85546875" style="1"/>
    <col min="7" max="7" width="12.140625" style="1" customWidth="1"/>
    <col min="8" max="8" width="29.5703125" style="1" customWidth="1"/>
    <col min="9" max="10" width="12.42578125" style="1" customWidth="1"/>
    <col min="11" max="11" width="13.5703125" style="1" customWidth="1"/>
    <col min="12" max="12" width="10.85546875" style="1" customWidth="1"/>
    <col min="13" max="13" width="14.7109375" style="1" customWidth="1"/>
    <col min="14" max="14" width="11.140625" style="1" customWidth="1"/>
    <col min="15" max="15" width="21.28515625" style="1" customWidth="1"/>
    <col min="16" max="16" width="15" style="1" customWidth="1"/>
    <col min="17" max="17" width="16" style="1" customWidth="1"/>
    <col min="18" max="16384" width="8.85546875" style="1"/>
  </cols>
  <sheetData>
    <row r="1" spans="1:8">
      <c r="B1" s="4" t="s">
        <v>0</v>
      </c>
    </row>
    <row r="3" spans="1:8">
      <c r="A3" s="19" t="s">
        <v>1</v>
      </c>
      <c r="B3" s="4" t="s">
        <v>2</v>
      </c>
      <c r="C3" s="5">
        <v>2625500</v>
      </c>
    </row>
    <row r="5" spans="1:8">
      <c r="A5" s="19">
        <v>1</v>
      </c>
      <c r="B5" s="6" t="s">
        <v>3</v>
      </c>
      <c r="C5" s="6" t="s">
        <v>4</v>
      </c>
      <c r="D5" s="6" t="s">
        <v>5</v>
      </c>
      <c r="E5" s="6" t="s">
        <v>6</v>
      </c>
      <c r="F5" s="1" t="s">
        <v>7</v>
      </c>
    </row>
    <row r="6" spans="1:8">
      <c r="B6" s="7" t="s">
        <v>8</v>
      </c>
      <c r="C6" s="8">
        <v>1800</v>
      </c>
      <c r="D6" s="9">
        <v>290</v>
      </c>
      <c r="E6" s="8">
        <f>C6*D6</f>
        <v>522000</v>
      </c>
    </row>
    <row r="7" spans="1:8">
      <c r="B7" s="7" t="s">
        <v>9</v>
      </c>
      <c r="C7" s="8">
        <v>1600</v>
      </c>
      <c r="D7" s="9">
        <v>290</v>
      </c>
      <c r="E7" s="8">
        <f t="shared" ref="E7:E13" si="0">C7*D7</f>
        <v>464000</v>
      </c>
    </row>
    <row r="8" spans="1:8">
      <c r="B8" s="7" t="s">
        <v>10</v>
      </c>
      <c r="C8" s="8">
        <v>1800</v>
      </c>
      <c r="D8" s="9">
        <v>30</v>
      </c>
      <c r="E8" s="8">
        <f t="shared" si="0"/>
        <v>54000</v>
      </c>
    </row>
    <row r="9" spans="1:8">
      <c r="B9" s="7" t="s">
        <v>11</v>
      </c>
      <c r="C9" s="8">
        <v>1800</v>
      </c>
      <c r="D9" s="9">
        <v>55</v>
      </c>
      <c r="E9" s="8">
        <f t="shared" si="0"/>
        <v>99000</v>
      </c>
    </row>
    <row r="10" spans="1:8">
      <c r="B10" s="7" t="s">
        <v>12</v>
      </c>
      <c r="C10" s="8">
        <v>1800</v>
      </c>
      <c r="D10" s="9">
        <v>460</v>
      </c>
      <c r="E10" s="8">
        <f t="shared" si="0"/>
        <v>828000</v>
      </c>
      <c r="H10" s="1" t="s">
        <v>13</v>
      </c>
    </row>
    <row r="11" spans="1:8">
      <c r="B11" s="7" t="s">
        <v>14</v>
      </c>
      <c r="C11" s="8">
        <v>1600</v>
      </c>
      <c r="D11" s="9">
        <v>410</v>
      </c>
      <c r="E11" s="8">
        <f t="shared" ref="E11:E12" si="1">C11*D11</f>
        <v>656000</v>
      </c>
    </row>
    <row r="12" spans="1:8">
      <c r="B12" s="7" t="s">
        <v>15</v>
      </c>
      <c r="C12" s="8">
        <v>1600</v>
      </c>
      <c r="D12" s="9">
        <v>10</v>
      </c>
      <c r="E12" s="8">
        <f t="shared" si="1"/>
        <v>16000</v>
      </c>
      <c r="F12" s="1" t="s">
        <v>16</v>
      </c>
    </row>
    <row r="13" spans="1:8">
      <c r="B13" s="7" t="s">
        <v>17</v>
      </c>
      <c r="C13" s="8">
        <v>0</v>
      </c>
      <c r="D13" s="9">
        <v>0</v>
      </c>
      <c r="E13" s="8">
        <f t="shared" si="0"/>
        <v>0</v>
      </c>
    </row>
    <row r="14" spans="1:8">
      <c r="C14" s="3"/>
      <c r="E14" s="12">
        <f>C3</f>
        <v>2625500</v>
      </c>
      <c r="F14" s="10"/>
      <c r="G14" s="11" t="s">
        <v>18</v>
      </c>
    </row>
    <row r="16" spans="1:8">
      <c r="A16" s="19">
        <v>2</v>
      </c>
      <c r="B16" s="6" t="s">
        <v>19</v>
      </c>
      <c r="C16" s="6" t="s">
        <v>4</v>
      </c>
      <c r="D16" s="6" t="s">
        <v>5</v>
      </c>
      <c r="E16" s="6" t="s">
        <v>6</v>
      </c>
      <c r="F16" s="1" t="s">
        <v>20</v>
      </c>
    </row>
    <row r="17" spans="1:17">
      <c r="B17" s="7" t="s">
        <v>8</v>
      </c>
      <c r="C17" s="8">
        <v>1800</v>
      </c>
      <c r="D17" s="9">
        <v>240</v>
      </c>
      <c r="E17" s="8">
        <f>C17*D17</f>
        <v>432000</v>
      </c>
      <c r="F17" s="1" t="s">
        <v>21</v>
      </c>
    </row>
    <row r="18" spans="1:17">
      <c r="B18" s="7" t="s">
        <v>9</v>
      </c>
      <c r="C18" s="8">
        <v>1600</v>
      </c>
      <c r="D18" s="9">
        <v>240</v>
      </c>
      <c r="E18" s="8">
        <f t="shared" ref="E18:E24" si="2">C18*D18</f>
        <v>384000</v>
      </c>
      <c r="F18" s="1" t="s">
        <v>22</v>
      </c>
    </row>
    <row r="19" spans="1:17">
      <c r="B19" s="7" t="s">
        <v>10</v>
      </c>
      <c r="C19" s="8">
        <v>1800</v>
      </c>
      <c r="D19" s="9">
        <v>30</v>
      </c>
      <c r="E19" s="8">
        <f t="shared" si="2"/>
        <v>54000</v>
      </c>
    </row>
    <row r="20" spans="1:17">
      <c r="B20" s="7" t="s">
        <v>11</v>
      </c>
      <c r="C20" s="8">
        <v>1800</v>
      </c>
      <c r="D20" s="9">
        <v>55</v>
      </c>
      <c r="E20" s="8">
        <f t="shared" si="2"/>
        <v>99000</v>
      </c>
    </row>
    <row r="21" spans="1:17">
      <c r="B21" s="7" t="s">
        <v>12</v>
      </c>
      <c r="C21" s="8">
        <v>1800</v>
      </c>
      <c r="D21" s="9">
        <v>510</v>
      </c>
      <c r="E21" s="8">
        <f t="shared" si="2"/>
        <v>918000</v>
      </c>
    </row>
    <row r="22" spans="1:17">
      <c r="B22" s="7" t="s">
        <v>14</v>
      </c>
      <c r="C22" s="8">
        <v>1600</v>
      </c>
      <c r="D22" s="9">
        <v>420</v>
      </c>
      <c r="E22" s="8">
        <f t="shared" si="2"/>
        <v>672000</v>
      </c>
    </row>
    <row r="23" spans="1:17">
      <c r="B23" s="7" t="s">
        <v>15</v>
      </c>
      <c r="C23" s="8">
        <v>1600</v>
      </c>
      <c r="D23" s="9">
        <v>10</v>
      </c>
      <c r="E23" s="8">
        <f t="shared" ref="E23" si="3">C23*D23</f>
        <v>16000</v>
      </c>
    </row>
    <row r="24" spans="1:17">
      <c r="B24" s="7" t="s">
        <v>17</v>
      </c>
      <c r="C24" s="8">
        <v>0</v>
      </c>
      <c r="D24" s="9">
        <v>0</v>
      </c>
      <c r="E24" s="8">
        <f t="shared" si="2"/>
        <v>0</v>
      </c>
      <c r="G24" s="1" t="s">
        <v>23</v>
      </c>
    </row>
    <row r="25" spans="1:17">
      <c r="C25" s="3"/>
      <c r="E25" s="8">
        <f>SUM(E17:E24)</f>
        <v>2575000</v>
      </c>
      <c r="G25" s="10">
        <f>C3-E25</f>
        <v>50500</v>
      </c>
    </row>
    <row r="27" spans="1:17">
      <c r="K27" s="22">
        <v>0.05</v>
      </c>
      <c r="L27" s="21">
        <v>0.95</v>
      </c>
      <c r="M27" s="21"/>
    </row>
    <row r="28" spans="1:17">
      <c r="A28" s="25">
        <v>3</v>
      </c>
      <c r="B28" s="24" t="s">
        <v>24</v>
      </c>
      <c r="C28" s="24" t="s">
        <v>4</v>
      </c>
      <c r="D28" s="24" t="s">
        <v>5</v>
      </c>
      <c r="E28" s="24" t="s">
        <v>6</v>
      </c>
      <c r="F28" s="21"/>
      <c r="G28" s="21"/>
      <c r="H28" s="21"/>
      <c r="K28" s="6" t="s">
        <v>4</v>
      </c>
      <c r="L28" s="6" t="s">
        <v>5</v>
      </c>
      <c r="M28" s="6" t="s">
        <v>6</v>
      </c>
      <c r="N28" s="19"/>
    </row>
    <row r="29" spans="1:17">
      <c r="B29" s="7" t="s">
        <v>8</v>
      </c>
      <c r="C29" s="8">
        <v>1800</v>
      </c>
      <c r="D29" s="9">
        <v>240</v>
      </c>
      <c r="E29" s="8">
        <f>C29*D29</f>
        <v>432000</v>
      </c>
      <c r="F29" s="1" t="s">
        <v>20</v>
      </c>
      <c r="K29" s="8">
        <f>C29*L27</f>
        <v>1710</v>
      </c>
      <c r="L29" s="9">
        <v>240</v>
      </c>
      <c r="M29" s="8">
        <f>K29*L29</f>
        <v>410400</v>
      </c>
      <c r="N29" s="20"/>
    </row>
    <row r="30" spans="1:17">
      <c r="B30" s="7" t="s">
        <v>9</v>
      </c>
      <c r="C30" s="8">
        <v>1600</v>
      </c>
      <c r="D30" s="9">
        <v>240</v>
      </c>
      <c r="E30" s="8">
        <f t="shared" ref="E30:E36" si="4">C30*D30</f>
        <v>384000</v>
      </c>
      <c r="F30" s="1" t="s">
        <v>25</v>
      </c>
      <c r="G30" s="1" t="s">
        <v>26</v>
      </c>
      <c r="K30" s="8">
        <f>C30*L27</f>
        <v>1520</v>
      </c>
      <c r="L30" s="9">
        <v>240</v>
      </c>
      <c r="M30" s="8">
        <f t="shared" ref="M30:M36" si="5">K30*L30</f>
        <v>364800</v>
      </c>
      <c r="N30" s="20"/>
      <c r="O30" s="16" t="s">
        <v>27</v>
      </c>
      <c r="P30" s="17">
        <v>2625500</v>
      </c>
      <c r="Q30" s="18" t="s">
        <v>28</v>
      </c>
    </row>
    <row r="31" spans="1:17">
      <c r="B31" s="7" t="s">
        <v>10</v>
      </c>
      <c r="C31" s="8">
        <v>1800</v>
      </c>
      <c r="D31" s="9">
        <v>30</v>
      </c>
      <c r="E31" s="8">
        <f t="shared" si="4"/>
        <v>54000</v>
      </c>
      <c r="F31" s="1" t="s">
        <v>29</v>
      </c>
      <c r="K31" s="8">
        <f>C31*L27</f>
        <v>1710</v>
      </c>
      <c r="L31" s="9">
        <v>30</v>
      </c>
      <c r="M31" s="8">
        <f t="shared" si="5"/>
        <v>51300</v>
      </c>
      <c r="N31" s="20"/>
      <c r="O31" s="15"/>
      <c r="P31" s="15"/>
      <c r="Q31" s="18" t="s">
        <v>30</v>
      </c>
    </row>
    <row r="32" spans="1:17">
      <c r="B32" s="7" t="s">
        <v>11</v>
      </c>
      <c r="C32" s="8">
        <v>1800</v>
      </c>
      <c r="D32" s="9">
        <v>55</v>
      </c>
      <c r="E32" s="8">
        <f t="shared" si="4"/>
        <v>99000</v>
      </c>
      <c r="K32" s="8">
        <f>C32*L27</f>
        <v>1710</v>
      </c>
      <c r="L32" s="9">
        <v>55</v>
      </c>
      <c r="M32" s="8">
        <f t="shared" si="5"/>
        <v>94050</v>
      </c>
      <c r="N32" s="20"/>
      <c r="O32" s="31" t="s">
        <v>31</v>
      </c>
      <c r="P32" s="32">
        <v>2575000</v>
      </c>
      <c r="Q32" s="33">
        <f>(P30-P32)/P32</f>
        <v>1.9611650485436893E-2</v>
      </c>
    </row>
    <row r="33" spans="1:17">
      <c r="B33" s="7" t="s">
        <v>12</v>
      </c>
      <c r="C33" s="8">
        <v>1800</v>
      </c>
      <c r="D33" s="9">
        <v>510</v>
      </c>
      <c r="E33" s="8">
        <f t="shared" si="4"/>
        <v>918000</v>
      </c>
      <c r="K33" s="8">
        <f>C33*L27</f>
        <v>1710</v>
      </c>
      <c r="L33" s="9">
        <v>510</v>
      </c>
      <c r="M33" s="8">
        <f t="shared" si="5"/>
        <v>872100</v>
      </c>
      <c r="N33" s="20"/>
      <c r="O33" s="15"/>
      <c r="P33" s="15"/>
      <c r="Q33" s="15"/>
    </row>
    <row r="34" spans="1:17">
      <c r="B34" s="7" t="s">
        <v>14</v>
      </c>
      <c r="C34" s="8">
        <v>1600</v>
      </c>
      <c r="D34" s="9">
        <v>140</v>
      </c>
      <c r="E34" s="8">
        <f t="shared" si="4"/>
        <v>224000</v>
      </c>
      <c r="K34" s="8">
        <f>C34*L27</f>
        <v>1520</v>
      </c>
      <c r="L34" s="9">
        <v>140</v>
      </c>
      <c r="M34" s="8">
        <f t="shared" si="5"/>
        <v>212800</v>
      </c>
      <c r="N34" s="20"/>
      <c r="O34" s="26" t="s">
        <v>32</v>
      </c>
      <c r="P34" s="34">
        <v>2127000</v>
      </c>
      <c r="Q34" s="35">
        <f>(P30-P34)/P30</f>
        <v>0.18986859645781756</v>
      </c>
    </row>
    <row r="35" spans="1:17">
      <c r="B35" s="7" t="s">
        <v>15</v>
      </c>
      <c r="C35" s="8">
        <v>1600</v>
      </c>
      <c r="D35" s="9">
        <v>10</v>
      </c>
      <c r="E35" s="8">
        <f t="shared" ref="E35" si="6">C35*D35</f>
        <v>16000</v>
      </c>
      <c r="K35" s="8">
        <f>C35*L27</f>
        <v>1520</v>
      </c>
      <c r="L35" s="9">
        <v>10</v>
      </c>
      <c r="M35" s="8">
        <f t="shared" si="5"/>
        <v>15200</v>
      </c>
      <c r="N35" s="20"/>
      <c r="O35" s="29"/>
      <c r="P35" s="29"/>
      <c r="Q35" s="29"/>
    </row>
    <row r="36" spans="1:17">
      <c r="B36" s="7" t="s">
        <v>17</v>
      </c>
      <c r="C36" s="8">
        <v>0</v>
      </c>
      <c r="D36" s="9">
        <v>0</v>
      </c>
      <c r="E36" s="8">
        <f t="shared" si="4"/>
        <v>0</v>
      </c>
      <c r="G36" s="1" t="s">
        <v>23</v>
      </c>
      <c r="K36" s="8">
        <v>0</v>
      </c>
      <c r="L36" s="9">
        <v>0</v>
      </c>
      <c r="M36" s="8">
        <f t="shared" si="5"/>
        <v>0</v>
      </c>
      <c r="N36" s="20"/>
      <c r="O36" s="26" t="s">
        <v>33</v>
      </c>
      <c r="P36" s="27">
        <v>2020650</v>
      </c>
      <c r="Q36" s="28">
        <f>(P30-P36)/P30</f>
        <v>0.23037516663492669</v>
      </c>
    </row>
    <row r="37" spans="1:17">
      <c r="C37" s="3"/>
      <c r="E37" s="8">
        <f>SUM(E29:E36)</f>
        <v>2127000</v>
      </c>
      <c r="G37" s="10">
        <f>C3-E37</f>
        <v>498500</v>
      </c>
      <c r="K37" s="3"/>
      <c r="L37" s="2"/>
      <c r="M37" s="8">
        <f>SUM(M29:M36)</f>
        <v>2020650</v>
      </c>
      <c r="N37" s="20"/>
      <c r="O37" s="21"/>
      <c r="P37" s="21"/>
      <c r="Q37" s="28"/>
    </row>
    <row r="38" spans="1:17">
      <c r="O38" s="26" t="s">
        <v>34</v>
      </c>
      <c r="P38" s="30">
        <f>M49</f>
        <v>1967475</v>
      </c>
      <c r="Q38" s="28">
        <f>(P30-P38)/P30</f>
        <v>0.25062845172348125</v>
      </c>
    </row>
    <row r="39" spans="1:17">
      <c r="K39" s="23">
        <v>7.4999999999999997E-2</v>
      </c>
      <c r="L39" s="21">
        <v>0.92500000000000004</v>
      </c>
      <c r="M39" s="21"/>
      <c r="O39" s="21"/>
      <c r="P39" s="21"/>
      <c r="Q39" s="28"/>
    </row>
    <row r="40" spans="1:17">
      <c r="A40" s="19">
        <v>4</v>
      </c>
      <c r="B40" s="6" t="s">
        <v>35</v>
      </c>
      <c r="C40" s="6" t="s">
        <v>4</v>
      </c>
      <c r="D40" s="6" t="s">
        <v>5</v>
      </c>
      <c r="E40" s="6" t="s">
        <v>6</v>
      </c>
      <c r="F40" s="1" t="s">
        <v>36</v>
      </c>
      <c r="K40" s="6" t="s">
        <v>4</v>
      </c>
      <c r="L40" s="6" t="s">
        <v>5</v>
      </c>
      <c r="M40" s="6" t="s">
        <v>6</v>
      </c>
      <c r="O40" s="26" t="s">
        <v>37</v>
      </c>
      <c r="P40" s="30">
        <f>M61</f>
        <v>1914300</v>
      </c>
      <c r="Q40" s="28">
        <f>(P30-P40)/P30</f>
        <v>0.27088173681203581</v>
      </c>
    </row>
    <row r="41" spans="1:17">
      <c r="B41" s="7" t="s">
        <v>8</v>
      </c>
      <c r="C41" s="8">
        <v>1800</v>
      </c>
      <c r="D41" s="9">
        <v>120</v>
      </c>
      <c r="E41" s="8">
        <f>C41*D41</f>
        <v>216000</v>
      </c>
      <c r="F41" s="1" t="s">
        <v>38</v>
      </c>
      <c r="K41" s="8">
        <f>C29*L39</f>
        <v>1665</v>
      </c>
      <c r="L41" s="9">
        <v>240</v>
      </c>
      <c r="M41" s="8">
        <f>K41*L41</f>
        <v>399600</v>
      </c>
      <c r="O41" s="21"/>
      <c r="P41" s="21"/>
      <c r="Q41" s="28"/>
    </row>
    <row r="42" spans="1:17">
      <c r="B42" s="7" t="s">
        <v>9</v>
      </c>
      <c r="C42" s="8">
        <v>1600</v>
      </c>
      <c r="D42" s="9">
        <v>120</v>
      </c>
      <c r="E42" s="8">
        <f t="shared" ref="E42:E48" si="7">C42*D42</f>
        <v>192000</v>
      </c>
      <c r="F42" s="1" t="s">
        <v>39</v>
      </c>
      <c r="K42" s="8">
        <f>C30*L39</f>
        <v>1480</v>
      </c>
      <c r="L42" s="9">
        <v>240</v>
      </c>
      <c r="M42" s="8">
        <f t="shared" ref="M42:M48" si="8">K42*L42</f>
        <v>355200</v>
      </c>
      <c r="O42" s="26" t="s">
        <v>40</v>
      </c>
      <c r="P42" s="30">
        <f>M74</f>
        <v>1861125</v>
      </c>
      <c r="Q42" s="28">
        <f>(P30-P42)/P30</f>
        <v>0.29113502190059037</v>
      </c>
    </row>
    <row r="43" spans="1:17">
      <c r="B43" s="7" t="s">
        <v>10</v>
      </c>
      <c r="C43" s="8">
        <v>1800</v>
      </c>
      <c r="D43" s="9">
        <v>30</v>
      </c>
      <c r="E43" s="8">
        <f t="shared" si="7"/>
        <v>54000</v>
      </c>
      <c r="F43" s="1" t="s">
        <v>41</v>
      </c>
      <c r="K43" s="8">
        <f>C31*L39</f>
        <v>1665</v>
      </c>
      <c r="L43" s="9">
        <v>30</v>
      </c>
      <c r="M43" s="8">
        <f t="shared" si="8"/>
        <v>49950</v>
      </c>
      <c r="O43" s="21"/>
      <c r="P43" s="21"/>
      <c r="Q43" s="28"/>
    </row>
    <row r="44" spans="1:17">
      <c r="B44" s="7" t="s">
        <v>11</v>
      </c>
      <c r="C44" s="8">
        <v>1800</v>
      </c>
      <c r="D44" s="9">
        <v>55</v>
      </c>
      <c r="E44" s="8">
        <f t="shared" si="7"/>
        <v>99000</v>
      </c>
      <c r="K44" s="8">
        <f>C32*L39</f>
        <v>1665</v>
      </c>
      <c r="L44" s="9">
        <v>55</v>
      </c>
      <c r="M44" s="8">
        <f t="shared" si="8"/>
        <v>91575</v>
      </c>
      <c r="O44" s="26" t="s">
        <v>42</v>
      </c>
      <c r="P44" s="30">
        <f>M86</f>
        <v>1807950</v>
      </c>
      <c r="Q44" s="28">
        <f>(P30-P44)/P30</f>
        <v>0.31138830698914494</v>
      </c>
    </row>
    <row r="45" spans="1:17">
      <c r="B45" s="7" t="s">
        <v>12</v>
      </c>
      <c r="C45" s="8">
        <v>1800</v>
      </c>
      <c r="D45" s="9">
        <v>510</v>
      </c>
      <c r="E45" s="8">
        <f t="shared" si="7"/>
        <v>918000</v>
      </c>
      <c r="K45" s="8">
        <f>C33*L39</f>
        <v>1665</v>
      </c>
      <c r="L45" s="9">
        <v>510</v>
      </c>
      <c r="M45" s="8">
        <f t="shared" si="8"/>
        <v>849150</v>
      </c>
    </row>
    <row r="46" spans="1:17">
      <c r="B46" s="7" t="s">
        <v>14</v>
      </c>
      <c r="C46" s="8">
        <v>1600</v>
      </c>
      <c r="D46" s="9">
        <v>140</v>
      </c>
      <c r="E46" s="8">
        <f t="shared" si="7"/>
        <v>224000</v>
      </c>
      <c r="K46" s="8">
        <f>C34*L39</f>
        <v>1480</v>
      </c>
      <c r="L46" s="9">
        <v>140</v>
      </c>
      <c r="M46" s="8">
        <f t="shared" si="8"/>
        <v>207200</v>
      </c>
    </row>
    <row r="47" spans="1:17">
      <c r="B47" s="7" t="s">
        <v>15</v>
      </c>
      <c r="C47" s="8">
        <v>1600</v>
      </c>
      <c r="D47" s="9">
        <v>10</v>
      </c>
      <c r="E47" s="8">
        <f t="shared" si="7"/>
        <v>16000</v>
      </c>
      <c r="K47" s="8">
        <f>C35*L39</f>
        <v>1480</v>
      </c>
      <c r="L47" s="9">
        <v>10</v>
      </c>
      <c r="M47" s="8">
        <f t="shared" si="8"/>
        <v>14800</v>
      </c>
    </row>
    <row r="48" spans="1:17">
      <c r="B48" s="7" t="s">
        <v>17</v>
      </c>
      <c r="C48" s="8">
        <v>0</v>
      </c>
      <c r="D48" s="9">
        <v>0</v>
      </c>
      <c r="E48" s="8">
        <f t="shared" si="7"/>
        <v>0</v>
      </c>
      <c r="K48" s="8">
        <v>0</v>
      </c>
      <c r="L48" s="9">
        <v>0</v>
      </c>
      <c r="M48" s="8">
        <f t="shared" si="8"/>
        <v>0</v>
      </c>
    </row>
    <row r="49" spans="2:13">
      <c r="C49" s="3"/>
      <c r="E49" s="8">
        <f>SUM(E41:E48)</f>
        <v>1719000</v>
      </c>
      <c r="L49" s="2"/>
      <c r="M49" s="8">
        <f>SUM(M41:M48)</f>
        <v>1967475</v>
      </c>
    </row>
    <row r="51" spans="2:13">
      <c r="B51" s="1" t="s">
        <v>43</v>
      </c>
      <c r="C51" s="1" t="s">
        <v>44</v>
      </c>
      <c r="D51" s="1" t="s">
        <v>45</v>
      </c>
      <c r="E51" s="3"/>
      <c r="K51" s="23">
        <v>0.1</v>
      </c>
      <c r="L51" s="21">
        <v>0.9</v>
      </c>
      <c r="M51" s="21"/>
    </row>
    <row r="52" spans="2:13">
      <c r="B52" s="10">
        <f>C3-E49</f>
        <v>906500</v>
      </c>
      <c r="C52" s="13">
        <v>59800</v>
      </c>
      <c r="D52" s="14">
        <v>500</v>
      </c>
      <c r="E52" s="10">
        <f>SUM(B52:D52)</f>
        <v>966800</v>
      </c>
      <c r="K52" s="6" t="s">
        <v>4</v>
      </c>
      <c r="L52" s="6" t="s">
        <v>5</v>
      </c>
      <c r="M52" s="6" t="s">
        <v>6</v>
      </c>
    </row>
    <row r="53" spans="2:13">
      <c r="B53" s="1" t="s">
        <v>46</v>
      </c>
      <c r="K53" s="8">
        <f>C29*L51</f>
        <v>1620</v>
      </c>
      <c r="L53" s="9">
        <v>240</v>
      </c>
      <c r="M53" s="8">
        <f>K53*L53</f>
        <v>388800</v>
      </c>
    </row>
    <row r="54" spans="2:13">
      <c r="B54" s="1" t="s">
        <v>47</v>
      </c>
      <c r="K54" s="8">
        <f>C30*L51</f>
        <v>1440</v>
      </c>
      <c r="L54" s="9">
        <v>240</v>
      </c>
      <c r="M54" s="8">
        <f t="shared" ref="M54:M60" si="9">K54*L54</f>
        <v>345600</v>
      </c>
    </row>
    <row r="55" spans="2:13">
      <c r="B55" s="1" t="s">
        <v>48</v>
      </c>
      <c r="K55" s="8">
        <f>C31*L51</f>
        <v>1620</v>
      </c>
      <c r="L55" s="9">
        <v>30</v>
      </c>
      <c r="M55" s="8">
        <f t="shared" si="9"/>
        <v>48600</v>
      </c>
    </row>
    <row r="56" spans="2:13">
      <c r="B56" s="1" t="s">
        <v>49</v>
      </c>
      <c r="K56" s="8">
        <f>C32*L51</f>
        <v>1620</v>
      </c>
      <c r="L56" s="9">
        <v>55</v>
      </c>
      <c r="M56" s="8">
        <f t="shared" si="9"/>
        <v>89100</v>
      </c>
    </row>
    <row r="57" spans="2:13">
      <c r="K57" s="8">
        <f>C33*L51</f>
        <v>1620</v>
      </c>
      <c r="L57" s="9">
        <v>510</v>
      </c>
      <c r="M57" s="8">
        <f t="shared" si="9"/>
        <v>826200</v>
      </c>
    </row>
    <row r="58" spans="2:13">
      <c r="K58" s="8">
        <f>C34*L51</f>
        <v>1440</v>
      </c>
      <c r="L58" s="9">
        <v>140</v>
      </c>
      <c r="M58" s="8">
        <f t="shared" si="9"/>
        <v>201600</v>
      </c>
    </row>
    <row r="59" spans="2:13">
      <c r="K59" s="8">
        <f>C35*L51</f>
        <v>1440</v>
      </c>
      <c r="L59" s="9">
        <v>10</v>
      </c>
      <c r="M59" s="8">
        <f t="shared" si="9"/>
        <v>14400</v>
      </c>
    </row>
    <row r="60" spans="2:13">
      <c r="K60" s="8">
        <v>0</v>
      </c>
      <c r="L60" s="9">
        <v>0</v>
      </c>
      <c r="M60" s="8">
        <f t="shared" si="9"/>
        <v>0</v>
      </c>
    </row>
    <row r="61" spans="2:13">
      <c r="L61" s="2"/>
      <c r="M61" s="8">
        <f>SUM(M53:M60)</f>
        <v>1914300</v>
      </c>
    </row>
    <row r="64" spans="2:13">
      <c r="K64" s="23">
        <v>0.125</v>
      </c>
      <c r="L64" s="21">
        <v>0.875</v>
      </c>
      <c r="M64" s="21"/>
    </row>
    <row r="65" spans="11:13">
      <c r="K65" s="6" t="s">
        <v>4</v>
      </c>
      <c r="L65" s="6" t="s">
        <v>5</v>
      </c>
      <c r="M65" s="6" t="s">
        <v>6</v>
      </c>
    </row>
    <row r="66" spans="11:13">
      <c r="K66" s="8">
        <f>C29*L64</f>
        <v>1575</v>
      </c>
      <c r="L66" s="9">
        <v>240</v>
      </c>
      <c r="M66" s="8">
        <f>K66*L66</f>
        <v>378000</v>
      </c>
    </row>
    <row r="67" spans="11:13">
      <c r="K67" s="8">
        <f>C30*L64</f>
        <v>1400</v>
      </c>
      <c r="L67" s="9">
        <v>240</v>
      </c>
      <c r="M67" s="8">
        <f t="shared" ref="M67:M73" si="10">K67*L67</f>
        <v>336000</v>
      </c>
    </row>
    <row r="68" spans="11:13">
      <c r="K68" s="8">
        <f>C31*L64</f>
        <v>1575</v>
      </c>
      <c r="L68" s="9">
        <v>30</v>
      </c>
      <c r="M68" s="8">
        <f t="shared" si="10"/>
        <v>47250</v>
      </c>
    </row>
    <row r="69" spans="11:13">
      <c r="K69" s="8">
        <f>C32*L64</f>
        <v>1575</v>
      </c>
      <c r="L69" s="9">
        <v>55</v>
      </c>
      <c r="M69" s="8">
        <f t="shared" si="10"/>
        <v>86625</v>
      </c>
    </row>
    <row r="70" spans="11:13">
      <c r="K70" s="8">
        <f>C33*L64</f>
        <v>1575</v>
      </c>
      <c r="L70" s="9">
        <v>510</v>
      </c>
      <c r="M70" s="8">
        <f t="shared" si="10"/>
        <v>803250</v>
      </c>
    </row>
    <row r="71" spans="11:13">
      <c r="K71" s="8">
        <f>C34*L64</f>
        <v>1400</v>
      </c>
      <c r="L71" s="9">
        <v>140</v>
      </c>
      <c r="M71" s="8">
        <f t="shared" si="10"/>
        <v>196000</v>
      </c>
    </row>
    <row r="72" spans="11:13">
      <c r="K72" s="8">
        <f>C35*L64</f>
        <v>1400</v>
      </c>
      <c r="L72" s="9">
        <v>10</v>
      </c>
      <c r="M72" s="8">
        <f t="shared" si="10"/>
        <v>14000</v>
      </c>
    </row>
    <row r="73" spans="11:13">
      <c r="K73" s="8">
        <v>0</v>
      </c>
      <c r="L73" s="9">
        <v>0</v>
      </c>
      <c r="M73" s="8">
        <f t="shared" si="10"/>
        <v>0</v>
      </c>
    </row>
    <row r="74" spans="11:13">
      <c r="L74" s="2"/>
      <c r="M74" s="8">
        <f>SUM(M66:M73)</f>
        <v>1861125</v>
      </c>
    </row>
    <row r="76" spans="11:13">
      <c r="K76" s="23">
        <v>0.15</v>
      </c>
      <c r="L76" s="21">
        <v>0.85</v>
      </c>
      <c r="M76" s="21"/>
    </row>
    <row r="77" spans="11:13">
      <c r="K77" s="6" t="s">
        <v>4</v>
      </c>
      <c r="L77" s="6" t="s">
        <v>5</v>
      </c>
      <c r="M77" s="6" t="s">
        <v>6</v>
      </c>
    </row>
    <row r="78" spans="11:13">
      <c r="K78" s="8">
        <f>C29*L76</f>
        <v>1530</v>
      </c>
      <c r="L78" s="9">
        <v>240</v>
      </c>
      <c r="M78" s="8">
        <f>K78*L78</f>
        <v>367200</v>
      </c>
    </row>
    <row r="79" spans="11:13">
      <c r="K79" s="8">
        <f>C30*L76</f>
        <v>1360</v>
      </c>
      <c r="L79" s="9">
        <v>240</v>
      </c>
      <c r="M79" s="8">
        <f t="shared" ref="M79:M85" si="11">K79*L79</f>
        <v>326400</v>
      </c>
    </row>
    <row r="80" spans="11:13">
      <c r="K80" s="8">
        <f>C31*L76</f>
        <v>1530</v>
      </c>
      <c r="L80" s="9">
        <v>30</v>
      </c>
      <c r="M80" s="8">
        <f t="shared" si="11"/>
        <v>45900</v>
      </c>
    </row>
    <row r="81" spans="11:13">
      <c r="K81" s="8">
        <f>C32*L76</f>
        <v>1530</v>
      </c>
      <c r="L81" s="9">
        <v>55</v>
      </c>
      <c r="M81" s="8">
        <f t="shared" si="11"/>
        <v>84150</v>
      </c>
    </row>
    <row r="82" spans="11:13">
      <c r="K82" s="8">
        <f>C33*L76</f>
        <v>1530</v>
      </c>
      <c r="L82" s="9">
        <v>510</v>
      </c>
      <c r="M82" s="8">
        <f t="shared" si="11"/>
        <v>780300</v>
      </c>
    </row>
    <row r="83" spans="11:13">
      <c r="K83" s="8">
        <f>C34*L76</f>
        <v>1360</v>
      </c>
      <c r="L83" s="9">
        <v>140</v>
      </c>
      <c r="M83" s="8">
        <f t="shared" si="11"/>
        <v>190400</v>
      </c>
    </row>
    <row r="84" spans="11:13">
      <c r="K84" s="8">
        <f>C35*L76</f>
        <v>1360</v>
      </c>
      <c r="L84" s="9">
        <v>10</v>
      </c>
      <c r="M84" s="8">
        <f t="shared" si="11"/>
        <v>13600</v>
      </c>
    </row>
    <row r="85" spans="11:13">
      <c r="K85" s="8">
        <v>0</v>
      </c>
      <c r="L85" s="9">
        <v>0</v>
      </c>
      <c r="M85" s="8">
        <f t="shared" si="11"/>
        <v>0</v>
      </c>
    </row>
    <row r="86" spans="11:13">
      <c r="L86" s="2"/>
      <c r="M86" s="8">
        <f>SUM(M78:M85)</f>
        <v>1807950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2df572-a05a-4d7a-b405-ea907adc8ef1" xsi:nil="true"/>
    <lcf76f155ced4ddcb4097134ff3c332f xmlns="1b9c1699-ebf9-4367-a19b-a2ba34f3551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4055F950154B4BB8632548C1CBB0E6" ma:contentTypeVersion="16" ma:contentTypeDescription="Create a new document." ma:contentTypeScope="" ma:versionID="afe6fb020ca010385eee4ed7effa1aad">
  <xsd:schema xmlns:xsd="http://www.w3.org/2001/XMLSchema" xmlns:xs="http://www.w3.org/2001/XMLSchema" xmlns:p="http://schemas.microsoft.com/office/2006/metadata/properties" xmlns:ns2="1b9c1699-ebf9-4367-a19b-a2ba34f35519" xmlns:ns3="552df572-a05a-4d7a-b405-ea907adc8ef1" targetNamespace="http://schemas.microsoft.com/office/2006/metadata/properties" ma:root="true" ma:fieldsID="3b8a228cc97967bcff58bc264716cc2b" ns2:_="" ns3:_="">
    <xsd:import namespace="1b9c1699-ebf9-4367-a19b-a2ba34f35519"/>
    <xsd:import namespace="552df572-a05a-4d7a-b405-ea907adc8e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9c1699-ebf9-4367-a19b-a2ba34f355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7d36a7d-b0e2-49af-8978-949f681152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2df572-a05a-4d7a-b405-ea907adc8ef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219a893-e60a-465a-8ba3-77ab026a152f}" ma:internalName="TaxCatchAll" ma:showField="CatchAllData" ma:web="552df572-a05a-4d7a-b405-ea907adc8e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C84661-2F88-4CE9-B27A-E5C7C3B5F28B}"/>
</file>

<file path=customXml/itemProps2.xml><?xml version="1.0" encoding="utf-8"?>
<ds:datastoreItem xmlns:ds="http://schemas.openxmlformats.org/officeDocument/2006/customXml" ds:itemID="{564B8CDB-A2B4-40BE-808E-A1FF5C4F92AD}"/>
</file>

<file path=customXml/itemProps3.xml><?xml version="1.0" encoding="utf-8"?>
<ds:datastoreItem xmlns:ds="http://schemas.openxmlformats.org/officeDocument/2006/customXml" ds:itemID="{C58340C8-63FF-4E5F-B6C7-BCADC48FE7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Nisbett</dc:creator>
  <cp:keywords/>
  <dc:description/>
  <cp:lastModifiedBy>Mark Cooper</cp:lastModifiedBy>
  <cp:revision/>
  <dcterms:created xsi:type="dcterms:W3CDTF">2025-06-16T02:48:43Z</dcterms:created>
  <dcterms:modified xsi:type="dcterms:W3CDTF">2025-06-17T04:47:11Z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0x0101003E4055F950154B4BB8632548C1CBB0E6</vt:lpwstr>
  </property>
  <property fmtid="{D5CDD505-2E9C-101B-9397-08002B2CF9AE}" pid="3" name="MediaServiceImageTags">
    <vt:lpwstr/>
  </property>
</Properties>
</file>