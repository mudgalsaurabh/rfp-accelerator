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https://inteliacomau.sharepoint.com/sites/inteliaSales/Shared Documents/General/2. Customers/Epworth/RFP Documents/FINAL RFP DOCUMENTS/"/>
    </mc:Choice>
  </mc:AlternateContent>
  <xr:revisionPtr revIDLastSave="62" documentId="13_ncr:1_{717BB2C3-5166-9E4F-BE02-5DD0D787571A}" xr6:coauthVersionLast="47" xr6:coauthVersionMax="47" xr10:uidLastSave="{57825600-D550-4B88-BF13-BD0E7868DC63}"/>
  <bookViews>
    <workbookView xWindow="14550" yWindow="-16560" windowWidth="29040" windowHeight="15840" firstSheet="1" activeTab="1" xr2:uid="{00000000-000D-0000-FFFF-FFFF00000000}"/>
  </bookViews>
  <sheets>
    <sheet name="1.Platform Costs" sheetId="1" r:id="rId1"/>
    <sheet name="2.Implementation Costs" sheetId="2" r:id="rId2"/>
    <sheet name="3.Rate Car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bJ5oSJ4NGm4vLwbLsIW2DNG1U593F9Eku6FicLwKdnU="/>
    </ext>
  </extLst>
</workbook>
</file>

<file path=xl/calcChain.xml><?xml version="1.0" encoding="utf-8"?>
<calcChain xmlns="http://schemas.openxmlformats.org/spreadsheetml/2006/main">
  <c r="G10" i="1" l="1"/>
  <c r="J9" i="1"/>
  <c r="K9" i="1" s="1"/>
  <c r="L9" i="1" s="1"/>
  <c r="I9" i="1"/>
  <c r="H9" i="1"/>
  <c r="G9" i="1"/>
  <c r="H8" i="1"/>
  <c r="G7" i="1"/>
  <c r="H7" i="1" s="1"/>
  <c r="G6" i="1"/>
  <c r="H6" i="1" s="1"/>
  <c r="I6" i="1" s="1"/>
  <c r="J6" i="1" s="1"/>
  <c r="K6" i="1" s="1"/>
  <c r="G5" i="1"/>
  <c r="H5" i="1" s="1"/>
  <c r="G4" i="1"/>
  <c r="H4" i="1" s="1"/>
  <c r="I4" i="1" s="1"/>
  <c r="J4" i="1" s="1"/>
  <c r="K4" i="1" s="1"/>
  <c r="G3" i="1"/>
  <c r="G11" i="1" s="1"/>
  <c r="I5" i="1" l="1"/>
  <c r="J5" i="1" s="1"/>
  <c r="K5" i="1" s="1"/>
  <c r="I7" i="1"/>
  <c r="J7" i="1" s="1"/>
  <c r="K7" i="1" s="1"/>
  <c r="L10" i="1"/>
  <c r="H3" i="1"/>
  <c r="L4" i="1"/>
  <c r="I8" i="1"/>
  <c r="J8" i="1" s="1"/>
  <c r="K8" i="1" s="1"/>
  <c r="H10" i="1"/>
  <c r="I10" i="1" s="1"/>
  <c r="J10" i="1" s="1"/>
  <c r="K10" i="1" s="1"/>
  <c r="L6" i="1"/>
  <c r="H11" i="1" l="1"/>
  <c r="I3" i="1"/>
  <c r="L7" i="1"/>
  <c r="L8" i="1"/>
  <c r="L5" i="1"/>
  <c r="I11" i="1" l="1"/>
  <c r="J3" i="1"/>
  <c r="J11" i="1" l="1"/>
  <c r="K3" i="1"/>
  <c r="K11" i="1" s="1"/>
  <c r="L3" i="1"/>
  <c r="L11" i="1" l="1"/>
</calcChain>
</file>

<file path=xl/sharedStrings.xml><?xml version="1.0" encoding="utf-8"?>
<sst xmlns="http://schemas.openxmlformats.org/spreadsheetml/2006/main" count="152" uniqueCount="108">
  <si>
    <t>All figures AUD$'000 (thousands) excluding gst</t>
  </si>
  <si>
    <t>Component / Service</t>
  </si>
  <si>
    <t>Description</t>
  </si>
  <si>
    <t>Vendor</t>
  </si>
  <si>
    <t>Pricing Model~</t>
  </si>
  <si>
    <t>Unit Cost^</t>
  </si>
  <si>
    <t>Estimated Units per Year*</t>
  </si>
  <si>
    <t>Year 1</t>
  </si>
  <si>
    <r>
      <rPr>
        <b/>
        <sz val="12"/>
        <color theme="0"/>
        <rFont val="Calibri"/>
      </rPr>
      <t>Year 2</t>
    </r>
    <r>
      <rPr>
        <b/>
        <sz val="8"/>
        <color theme="0"/>
        <rFont val="Calibri"/>
      </rPr>
      <t>#</t>
    </r>
  </si>
  <si>
    <r>
      <rPr>
        <b/>
        <sz val="12"/>
        <color theme="0"/>
        <rFont val="Calibri"/>
      </rPr>
      <t>Year 3</t>
    </r>
    <r>
      <rPr>
        <b/>
        <sz val="8"/>
        <color theme="0"/>
        <rFont val="Calibri"/>
      </rPr>
      <t>#</t>
    </r>
  </si>
  <si>
    <r>
      <rPr>
        <b/>
        <sz val="12"/>
        <color theme="0"/>
        <rFont val="Calibri"/>
      </rPr>
      <t>Year 4</t>
    </r>
    <r>
      <rPr>
        <b/>
        <sz val="8"/>
        <color theme="0"/>
        <rFont val="Calibri"/>
      </rPr>
      <t>#</t>
    </r>
  </si>
  <si>
    <r>
      <rPr>
        <b/>
        <sz val="12"/>
        <color theme="0"/>
        <rFont val="Calibri"/>
      </rPr>
      <t>Year 5</t>
    </r>
    <r>
      <rPr>
        <b/>
        <sz val="8"/>
        <color theme="0"/>
        <rFont val="Calibri"/>
      </rPr>
      <t>#</t>
    </r>
  </si>
  <si>
    <t>Total  
(5 Yrs)</t>
  </si>
  <si>
    <t>Provide comments on discounts factored into pricing</t>
  </si>
  <si>
    <t>Data Platform (Base)</t>
  </si>
  <si>
    <t>BigQuery OnDemand</t>
  </si>
  <si>
    <t>GCP</t>
  </si>
  <si>
    <t>Consumption Based</t>
  </si>
  <si>
    <t>Split into Storage &amp; Queries</t>
  </si>
  <si>
    <t>2TB storage, 10TB queries per month</t>
  </si>
  <si>
    <t>Ability to purchase a slot commitment depending on workload size to reduce overall costs.</t>
  </si>
  <si>
    <t>Component 1 - ELT</t>
  </si>
  <si>
    <t>Dataflow</t>
  </si>
  <si>
    <t>Split into Job hours, Compute Units, and Storage per month</t>
  </si>
  <si>
    <t>60 Compute units, 160 job hours, 10TB storage</t>
  </si>
  <si>
    <t>Component 2 - ELT (APIs)</t>
  </si>
  <si>
    <t>Cloud Functions</t>
  </si>
  <si>
    <t>Split into # requests and request time per invocation</t>
  </si>
  <si>
    <t>1M requests, 20 second invocation</t>
  </si>
  <si>
    <t>Hosting / Cloud Charges</t>
  </si>
  <si>
    <t>Google Cloud Storage</t>
  </si>
  <si>
    <t>GB storage in Melbourne Region</t>
  </si>
  <si>
    <t>Data Transfer / Egress</t>
  </si>
  <si>
    <t>Partner Interconnect</t>
  </si>
  <si>
    <t>Transfer data and number of VLAN connections</t>
  </si>
  <si>
    <t>2TB per month, 2 VLANs for 500Mbps</t>
  </si>
  <si>
    <t>Backup / Disaster Recovery</t>
  </si>
  <si>
    <t>N/A</t>
  </si>
  <si>
    <t>Provided natively from the Cloud Platform. Can be established as full replication if required for additional cost.</t>
  </si>
  <si>
    <t>Support / SLAs</t>
  </si>
  <si>
    <t>Annual Support Costs</t>
  </si>
  <si>
    <t>Fixed / % based on Consumption</t>
  </si>
  <si>
    <t>Enhanced support (Premium available also).</t>
  </si>
  <si>
    <t>Other (Specify)</t>
  </si>
  <si>
    <t>Logging / Monitoring / Ops</t>
  </si>
  <si>
    <t>Log size and retention time</t>
  </si>
  <si>
    <t>12 month log retention</t>
  </si>
  <si>
    <t>Total (Platform Costs)</t>
  </si>
  <si>
    <t>10% discount on first year spend, upto 15% of first year spend in credits for Professional Services.</t>
  </si>
  <si>
    <t>Notes:</t>
  </si>
  <si>
    <t>Data entry field is coloured yellow. Please insert rows as required for additional components or other items.</t>
  </si>
  <si>
    <t># Annual volume growth assumption is 20%</t>
  </si>
  <si>
    <t>* Refer to RFP reference x</t>
  </si>
  <si>
    <t>^ Unit cost is the average over 5 years</t>
  </si>
  <si>
    <t>~ for example per user/core/GB/month</t>
  </si>
  <si>
    <t>All figures are to be in AUD$'000 (rounded to the nearest thousand) and excluding gst</t>
  </si>
  <si>
    <t>Total Fixed Cost Implementation</t>
  </si>
  <si>
    <t>Sprint Duration (e.g.  2 weeks, 4 weeks etc)</t>
  </si>
  <si>
    <t>2 Weeks</t>
  </si>
  <si>
    <t>For information only</t>
  </si>
  <si>
    <t>Phase / Activity</t>
  </si>
  <si>
    <t>Estimated Sprint(s)</t>
  </si>
  <si>
    <t>Resource Roles</t>
  </si>
  <si>
    <t># of Resources</t>
  </si>
  <si>
    <t>Discovery &amp; Planning</t>
  </si>
  <si>
    <t>Requirement analysis, architecture design</t>
  </si>
  <si>
    <t>Data Architect, Senior Data Engineer</t>
  </si>
  <si>
    <t>Data Platform Setup</t>
  </si>
  <si>
    <t>Initial configuration &amp; provisioning</t>
  </si>
  <si>
    <t>Cloud Architect, Senior Platform Engineer</t>
  </si>
  <si>
    <t>Build, Migrate, Testing &amp; Validation, Production Deployment, Documentation</t>
  </si>
  <si>
    <t>Migrate data source(s) + SSIS packages etc, Reconstruct and present Interface Layer Models, Testing &amp; Validation, Documentation, Iterative Production Deployment</t>
  </si>
  <si>
    <t>Senior Data Engineer, Data Engineer</t>
  </si>
  <si>
    <t>Transition &amp; Hypercare</t>
  </si>
  <si>
    <t>Support after go-live</t>
  </si>
  <si>
    <t>1 - 4</t>
  </si>
  <si>
    <t>Data Engineer, Senior Data Engineer</t>
  </si>
  <si>
    <t>Project Management</t>
  </si>
  <si>
    <t>(Length of Project)</t>
  </si>
  <si>
    <t>Project Manager</t>
  </si>
  <si>
    <t xml:space="preserve">Business Analyst </t>
  </si>
  <si>
    <t>Business Analyst</t>
  </si>
  <si>
    <t xml:space="preserve">Data entry field is coloured yellow. </t>
  </si>
  <si>
    <r>
      <rPr>
        <sz val="11"/>
        <color theme="1"/>
        <rFont val="Calibri"/>
      </rPr>
      <t>Request is for fixed price model -</t>
    </r>
    <r>
      <rPr>
        <b/>
        <sz val="11"/>
        <color theme="1"/>
        <rFont val="Calibri"/>
      </rPr>
      <t xml:space="preserve"> populate cell $B$1</t>
    </r>
  </si>
  <si>
    <r>
      <rPr>
        <b/>
        <sz val="11"/>
        <color theme="1"/>
        <rFont val="Calibri"/>
      </rPr>
      <t>Columns C:E is for information only</t>
    </r>
    <r>
      <rPr>
        <sz val="11"/>
        <color theme="1"/>
        <rFont val="Calibri"/>
      </rPr>
      <t>, the expectation is that engagment will be fixed price only</t>
    </r>
  </si>
  <si>
    <t xml:space="preserve">Completing rows 6 to 12 are mandatory </t>
  </si>
  <si>
    <t>Role</t>
  </si>
  <si>
    <t>Skill Level</t>
  </si>
  <si>
    <t>Description / Responsibility</t>
  </si>
  <si>
    <t>Vendor / Internal</t>
  </si>
  <si>
    <t>Rate Type</t>
  </si>
  <si>
    <t>Rate ex. gst
(AUD$ per hour)</t>
  </si>
  <si>
    <t>Senior</t>
  </si>
  <si>
    <t>* Conduct Business Analysis Sessions, Prioritise Data Sources, Understand Existing Requirements and Pain Points
* Unit Testing on Source System Conversion
* Comparsion of Existing Source Extraction to New Extraction
* Change Management and Training Materials</t>
  </si>
  <si>
    <t>intelia</t>
  </si>
  <si>
    <t>Daily</t>
  </si>
  <si>
    <t>$1,600</t>
  </si>
  <si>
    <t>Data Architect</t>
  </si>
  <si>
    <t>* Development of System Data Design and Solution Architecture Design
* Assist with Physical Connectivity Setup (On Prem to Cloud)</t>
  </si>
  <si>
    <t>$1,800</t>
  </si>
  <si>
    <t>* Managing Resources (both intelia and Epworth) and Timelines for Project
* Status Reporting on Risks/Issues, Timelines and Dependencies
* First Level of Project Issue Resolution</t>
  </si>
  <si>
    <t>Data Engineer</t>
  </si>
  <si>
    <t>Mid</t>
  </si>
  <si>
    <t>* Support the Conversion of Existing SSIS Packages
* Build the Framework for the Full and Delta Load Patterns
* Unit Testing of Converted Pipelines
* Provide Hypercare Support</t>
  </si>
  <si>
    <t>* Lead the Conversion of Existing SSIS Packages with Advanced and/or Bespoke Requirements
* Arcitect and Lead the Build for Framework for the Full and Delta Load Patterns
* Lead the Automation and Efficnency of Conversion Tasks</t>
  </si>
  <si>
    <t>Cloud Architect</t>
  </si>
  <si>
    <t>* Architect the Physical Configuration of Google Components and On-Premise Components for Network and Infrastrucutre Connectivity
* Configure the Automation of Google Components</t>
  </si>
  <si>
    <t>Insert rows as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</si>
</sst>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5">
    <font>
      <sz val="11"/>
      <color theme="1"/>
      <name val="Calibri"/>
      <scheme val="minor"/>
    </font>
    <font>
      <b/>
      <i/>
      <sz val="12"/>
      <color theme="1"/>
      <name val="Calibri"/>
    </font>
    <font>
      <sz val="12"/>
      <color theme="1"/>
      <name val="Calibri"/>
    </font>
    <font>
      <b/>
      <sz val="12"/>
      <color theme="0"/>
      <name val="Calibri"/>
    </font>
    <font>
      <b/>
      <sz val="12"/>
      <color theme="1"/>
      <name val="Calibri"/>
    </font>
    <font>
      <sz val="12"/>
      <color rgb="FF244061"/>
      <name val="Calibri"/>
    </font>
    <font>
      <b/>
      <sz val="11"/>
      <color theme="0"/>
      <name val="Calibri"/>
    </font>
    <font>
      <sz val="11"/>
      <color theme="1"/>
      <name val="Calibri"/>
    </font>
    <font>
      <sz val="11"/>
      <color theme="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8"/>
      <color theme="0"/>
      <name val="Calibri"/>
    </font>
    <font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rgb="FFFFFFCC"/>
        <bgColor rgb="FFFFFF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5" fillId="4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3" fillId="2" borderId="1" xfId="0" applyFont="1" applyFill="1" applyBorder="1"/>
    <xf numFmtId="0" fontId="4" fillId="0" borderId="0" xfId="0" applyFont="1"/>
    <xf numFmtId="0" fontId="2" fillId="4" borderId="3" xfId="0" applyFont="1" applyFill="1" applyBorder="1"/>
    <xf numFmtId="0" fontId="2" fillId="4" borderId="3" xfId="0" applyFont="1" applyFill="1" applyBorder="1" applyAlignment="1">
      <alignment wrapText="1"/>
    </xf>
    <xf numFmtId="0" fontId="10" fillId="0" borderId="0" xfId="0" applyFont="1"/>
    <xf numFmtId="0" fontId="11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6" fillId="2" borderId="3" xfId="0" applyFont="1" applyFill="1" applyBorder="1" applyAlignment="1">
      <alignment vertical="top"/>
    </xf>
    <xf numFmtId="0" fontId="7" fillId="4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10" fillId="0" borderId="0" xfId="0" applyFont="1" applyAlignment="1">
      <alignment vertical="top"/>
    </xf>
    <xf numFmtId="0" fontId="7" fillId="4" borderId="3" xfId="0" applyFont="1" applyFill="1" applyBorder="1" applyAlignment="1">
      <alignment vertical="top"/>
    </xf>
    <xf numFmtId="0" fontId="1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3" fillId="4" borderId="1" xfId="0" applyFont="1" applyFill="1" applyBorder="1" applyAlignment="1">
      <alignment vertical="top"/>
    </xf>
    <xf numFmtId="0" fontId="7" fillId="4" borderId="1" xfId="0" applyFont="1" applyFill="1" applyBorder="1" applyAlignment="1">
      <alignment horizontal="center" vertical="top"/>
    </xf>
    <xf numFmtId="6" fontId="7" fillId="4" borderId="3" xfId="0" applyNumberFormat="1" applyFont="1" applyFill="1" applyBorder="1" applyAlignment="1">
      <alignment horizontal="left" vertical="top"/>
    </xf>
    <xf numFmtId="0" fontId="13" fillId="4" borderId="1" xfId="0" quotePrefix="1" applyFont="1" applyFill="1" applyBorder="1" applyAlignment="1">
      <alignment horizontal="center" vertical="top"/>
    </xf>
    <xf numFmtId="0" fontId="8" fillId="2" borderId="4" xfId="0" applyFont="1" applyFill="1" applyBorder="1" applyAlignment="1">
      <alignment horizontal="center" vertical="top"/>
    </xf>
    <xf numFmtId="0" fontId="9" fillId="0" borderId="5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0" fontId="14" fillId="4" borderId="7" xfId="0" applyFont="1" applyFill="1" applyBorder="1" applyAlignment="1">
      <alignment horizontal="left" vertical="top" wrapText="1"/>
    </xf>
    <xf numFmtId="0" fontId="14" fillId="4" borderId="2" xfId="0" applyFont="1" applyFill="1" applyBorder="1" applyAlignment="1">
      <alignment horizontal="left" vertical="top" wrapText="1"/>
    </xf>
    <xf numFmtId="0" fontId="14" fillId="4" borderId="8" xfId="0" applyFont="1" applyFill="1" applyBorder="1" applyAlignment="1">
      <alignment horizontal="left" vertical="top" wrapText="1"/>
    </xf>
    <xf numFmtId="0" fontId="13" fillId="4" borderId="7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top" wrapText="1"/>
    </xf>
    <xf numFmtId="0" fontId="7" fillId="4" borderId="8" xfId="0" applyFont="1" applyFill="1" applyBorder="1" applyAlignment="1">
      <alignment horizontal="left" vertical="top" wrapText="1"/>
    </xf>
    <xf numFmtId="0" fontId="7" fillId="4" borderId="7" xfId="0" applyFont="1" applyFill="1" applyBorder="1" applyAlignment="1">
      <alignment horizontal="center" vertical="top"/>
    </xf>
    <xf numFmtId="0" fontId="7" fillId="4" borderId="2" xfId="0" applyFont="1" applyFill="1" applyBorder="1" applyAlignment="1">
      <alignment horizontal="center" vertical="top"/>
    </xf>
    <xf numFmtId="0" fontId="7" fillId="4" borderId="8" xfId="0" applyFont="1" applyFill="1" applyBorder="1" applyAlignment="1">
      <alignment horizontal="center" vertical="top"/>
    </xf>
    <xf numFmtId="0" fontId="7" fillId="4" borderId="2" xfId="0" applyFont="1" applyFill="1" applyBorder="1" applyAlignment="1">
      <alignment horizontal="left" vertical="top"/>
    </xf>
    <xf numFmtId="0" fontId="7" fillId="4" borderId="8" xfId="0" applyFont="1" applyFill="1" applyBorder="1" applyAlignment="1">
      <alignment horizontal="left" vertical="top"/>
    </xf>
    <xf numFmtId="0" fontId="13" fillId="4" borderId="7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998"/>
  <sheetViews>
    <sheetView showGridLines="0" topLeftCell="C2" workbookViewId="0">
      <selection activeCell="D12" sqref="D12"/>
    </sheetView>
  </sheetViews>
  <sheetFormatPr defaultColWidth="14.42578125" defaultRowHeight="15" customHeight="1"/>
  <cols>
    <col min="1" max="1" width="29.7109375" customWidth="1"/>
    <col min="2" max="2" width="28.140625" customWidth="1"/>
    <col min="3" max="3" width="21.7109375" customWidth="1"/>
    <col min="4" max="4" width="34.42578125" customWidth="1"/>
    <col min="5" max="5" width="30.140625" customWidth="1"/>
    <col min="6" max="6" width="20.7109375" customWidth="1"/>
    <col min="7" max="11" width="9.140625" customWidth="1"/>
    <col min="12" max="12" width="14.42578125" customWidth="1"/>
    <col min="13" max="13" width="64.42578125" customWidth="1"/>
    <col min="14" max="26" width="9.140625" customWidth="1"/>
  </cols>
  <sheetData>
    <row r="1" spans="1:26" ht="15.75" customHeight="1">
      <c r="A1" s="1" t="s">
        <v>0</v>
      </c>
      <c r="B1" s="2"/>
      <c r="C1" s="2"/>
      <c r="D1" s="2"/>
      <c r="E1" s="3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68.2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5" t="s">
        <v>13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1.15">
      <c r="A3" s="6" t="s">
        <v>14</v>
      </c>
      <c r="B3" s="7" t="s">
        <v>15</v>
      </c>
      <c r="C3" s="7" t="s">
        <v>16</v>
      </c>
      <c r="D3" s="7" t="s">
        <v>17</v>
      </c>
      <c r="E3" s="8" t="s">
        <v>18</v>
      </c>
      <c r="F3" s="8" t="s">
        <v>19</v>
      </c>
      <c r="G3" s="7">
        <f>1328*12/1000</f>
        <v>15.936</v>
      </c>
      <c r="H3" s="7">
        <f t="shared" ref="H3:K3" si="0">G3*1.2</f>
        <v>19.123200000000001</v>
      </c>
      <c r="I3" s="7">
        <f t="shared" si="0"/>
        <v>22.947839999999999</v>
      </c>
      <c r="J3" s="7">
        <f t="shared" si="0"/>
        <v>27.537407999999999</v>
      </c>
      <c r="K3" s="7">
        <f t="shared" si="0"/>
        <v>33.044889599999998</v>
      </c>
      <c r="L3" s="9">
        <f t="shared" ref="L3:L11" si="1">SUM(G3:K3)</f>
        <v>118.58933759999999</v>
      </c>
      <c r="M3" s="8" t="s">
        <v>20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6.9">
      <c r="A4" s="6" t="s">
        <v>21</v>
      </c>
      <c r="B4" s="7" t="s">
        <v>22</v>
      </c>
      <c r="C4" s="7" t="s">
        <v>16</v>
      </c>
      <c r="D4" s="7" t="s">
        <v>17</v>
      </c>
      <c r="E4" s="8" t="s">
        <v>23</v>
      </c>
      <c r="F4" s="8" t="s">
        <v>24</v>
      </c>
      <c r="G4" s="7">
        <f>1461*12/1000</f>
        <v>17.532</v>
      </c>
      <c r="H4" s="7">
        <f t="shared" ref="H4:K4" si="2">G4*1.2</f>
        <v>21.038399999999999</v>
      </c>
      <c r="I4" s="7">
        <f t="shared" si="2"/>
        <v>25.246079999999999</v>
      </c>
      <c r="J4" s="7">
        <f t="shared" si="2"/>
        <v>30.295295999999997</v>
      </c>
      <c r="K4" s="7">
        <f t="shared" si="2"/>
        <v>36.354355199999993</v>
      </c>
      <c r="L4" s="9">
        <f t="shared" si="1"/>
        <v>130.46613119999998</v>
      </c>
      <c r="M4" s="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1.15">
      <c r="A5" s="6" t="s">
        <v>25</v>
      </c>
      <c r="B5" s="7" t="s">
        <v>26</v>
      </c>
      <c r="C5" s="7" t="s">
        <v>16</v>
      </c>
      <c r="D5" s="7" t="s">
        <v>17</v>
      </c>
      <c r="E5" s="8" t="s">
        <v>27</v>
      </c>
      <c r="F5" s="8" t="s">
        <v>28</v>
      </c>
      <c r="G5" s="7">
        <f>202*12/1000</f>
        <v>2.4239999999999999</v>
      </c>
      <c r="H5" s="7">
        <f t="shared" ref="H5:K5" si="3">G5*1.2</f>
        <v>2.9087999999999998</v>
      </c>
      <c r="I5" s="7">
        <f t="shared" si="3"/>
        <v>3.4905599999999999</v>
      </c>
      <c r="J5" s="7">
        <f t="shared" si="3"/>
        <v>4.1886719999999995</v>
      </c>
      <c r="K5" s="7">
        <f t="shared" si="3"/>
        <v>5.0264063999999991</v>
      </c>
      <c r="L5" s="9">
        <f t="shared" si="1"/>
        <v>18.038438399999997</v>
      </c>
      <c r="M5" s="8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1.15">
      <c r="A6" s="6" t="s">
        <v>29</v>
      </c>
      <c r="B6" s="7" t="s">
        <v>30</v>
      </c>
      <c r="C6" s="7" t="s">
        <v>16</v>
      </c>
      <c r="D6" s="7" t="s">
        <v>17</v>
      </c>
      <c r="E6" s="8" t="s">
        <v>31</v>
      </c>
      <c r="F6" s="8">
        <v>5000</v>
      </c>
      <c r="G6" s="7">
        <f>367*12/1000</f>
        <v>4.4039999999999999</v>
      </c>
      <c r="H6" s="7">
        <f t="shared" ref="H6:K6" si="4">G6*1.2</f>
        <v>5.2847999999999997</v>
      </c>
      <c r="I6" s="7">
        <f t="shared" si="4"/>
        <v>6.3417599999999998</v>
      </c>
      <c r="J6" s="7">
        <f t="shared" si="4"/>
        <v>7.6101119999999991</v>
      </c>
      <c r="K6" s="7">
        <f t="shared" si="4"/>
        <v>9.1321343999999982</v>
      </c>
      <c r="L6" s="9">
        <f t="shared" si="1"/>
        <v>32.7728064</v>
      </c>
      <c r="M6" s="8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1.15">
      <c r="A7" s="6" t="s">
        <v>32</v>
      </c>
      <c r="B7" s="7" t="s">
        <v>33</v>
      </c>
      <c r="C7" s="7" t="s">
        <v>16</v>
      </c>
      <c r="D7" s="7" t="s">
        <v>17</v>
      </c>
      <c r="E7" s="8" t="s">
        <v>34</v>
      </c>
      <c r="F7" s="8" t="s">
        <v>35</v>
      </c>
      <c r="G7" s="7">
        <f>504*12/1000</f>
        <v>6.048</v>
      </c>
      <c r="H7" s="7">
        <f t="shared" ref="H7:K7" si="5">G7*1.2</f>
        <v>7.2576000000000001</v>
      </c>
      <c r="I7" s="7">
        <f t="shared" si="5"/>
        <v>8.7091200000000004</v>
      </c>
      <c r="J7" s="7">
        <f t="shared" si="5"/>
        <v>10.450944</v>
      </c>
      <c r="K7" s="7">
        <f t="shared" si="5"/>
        <v>12.5411328</v>
      </c>
      <c r="L7" s="9">
        <f t="shared" si="1"/>
        <v>45.006796800000004</v>
      </c>
      <c r="M7" s="8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1.15">
      <c r="A8" s="6" t="s">
        <v>36</v>
      </c>
      <c r="B8" s="7" t="s">
        <v>37</v>
      </c>
      <c r="C8" s="7" t="s">
        <v>16</v>
      </c>
      <c r="D8" s="7" t="s">
        <v>17</v>
      </c>
      <c r="E8" s="8" t="s">
        <v>37</v>
      </c>
      <c r="F8" s="8"/>
      <c r="G8" s="7"/>
      <c r="H8" s="7">
        <f t="shared" ref="H8:K8" si="6">G8*1.2</f>
        <v>0</v>
      </c>
      <c r="I8" s="7">
        <f t="shared" si="6"/>
        <v>0</v>
      </c>
      <c r="J8" s="7">
        <f t="shared" si="6"/>
        <v>0</v>
      </c>
      <c r="K8" s="7">
        <f t="shared" si="6"/>
        <v>0</v>
      </c>
      <c r="L8" s="9">
        <f t="shared" si="1"/>
        <v>0</v>
      </c>
      <c r="M8" s="8" t="s">
        <v>38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6">
      <c r="A9" s="6" t="s">
        <v>39</v>
      </c>
      <c r="B9" s="7" t="s">
        <v>40</v>
      </c>
      <c r="C9" s="7" t="s">
        <v>16</v>
      </c>
      <c r="D9" s="7" t="s">
        <v>41</v>
      </c>
      <c r="E9" s="8" t="s">
        <v>37</v>
      </c>
      <c r="F9" s="8"/>
      <c r="G9" s="7">
        <f>156*12/1000</f>
        <v>1.8720000000000001</v>
      </c>
      <c r="H9" s="7">
        <f t="shared" ref="H9:K9" si="7">G9*1.2</f>
        <v>2.2464</v>
      </c>
      <c r="I9" s="7">
        <f t="shared" si="7"/>
        <v>2.6956799999999999</v>
      </c>
      <c r="J9" s="7">
        <f t="shared" si="7"/>
        <v>3.2348159999999999</v>
      </c>
      <c r="K9" s="7">
        <f t="shared" si="7"/>
        <v>3.8817791999999995</v>
      </c>
      <c r="L9" s="9">
        <f t="shared" si="1"/>
        <v>13.9306752</v>
      </c>
      <c r="M9" s="8" t="s">
        <v>42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1.15">
      <c r="A10" s="6" t="s">
        <v>43</v>
      </c>
      <c r="B10" s="7" t="s">
        <v>44</v>
      </c>
      <c r="C10" s="7" t="s">
        <v>16</v>
      </c>
      <c r="D10" s="7" t="s">
        <v>17</v>
      </c>
      <c r="E10" s="8" t="s">
        <v>45</v>
      </c>
      <c r="F10" s="8" t="s">
        <v>46</v>
      </c>
      <c r="G10" s="7">
        <f>57*12/1000</f>
        <v>0.68400000000000005</v>
      </c>
      <c r="H10" s="7">
        <f t="shared" ref="H10:K10" si="8">G10*1.2</f>
        <v>0.82080000000000009</v>
      </c>
      <c r="I10" s="7">
        <f t="shared" si="8"/>
        <v>0.98496000000000006</v>
      </c>
      <c r="J10" s="7">
        <f t="shared" si="8"/>
        <v>1.1819520000000001</v>
      </c>
      <c r="K10" s="7">
        <f t="shared" si="8"/>
        <v>1.4183424</v>
      </c>
      <c r="L10" s="9">
        <f t="shared" si="1"/>
        <v>5.0900544000000005</v>
      </c>
      <c r="M10" s="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 t="s">
        <v>47</v>
      </c>
      <c r="B11" s="2"/>
      <c r="C11" s="2"/>
      <c r="D11" s="2"/>
      <c r="E11" s="3"/>
      <c r="F11" s="3"/>
      <c r="G11" s="9">
        <f t="shared" ref="G11:K11" si="9">SUM(G3:G10)</f>
        <v>48.900000000000006</v>
      </c>
      <c r="H11" s="9">
        <f t="shared" si="9"/>
        <v>58.679999999999993</v>
      </c>
      <c r="I11" s="9">
        <f t="shared" si="9"/>
        <v>70.415999999999997</v>
      </c>
      <c r="J11" s="9">
        <f t="shared" si="9"/>
        <v>84.499199999999973</v>
      </c>
      <c r="K11" s="9">
        <f t="shared" si="9"/>
        <v>101.39903999999999</v>
      </c>
      <c r="L11" s="9">
        <f t="shared" si="1"/>
        <v>363.89423999999997</v>
      </c>
      <c r="M11" s="8" t="s">
        <v>48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2"/>
      <c r="C12" s="2"/>
      <c r="D12" s="2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2"/>
      <c r="C13" s="2"/>
      <c r="D13" s="2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0" t="s">
        <v>49</v>
      </c>
      <c r="B14" s="2"/>
      <c r="C14" s="2"/>
      <c r="D14" s="2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1" t="s">
        <v>50</v>
      </c>
      <c r="B15" s="11"/>
      <c r="C15" s="11"/>
      <c r="D15" s="11"/>
      <c r="E15" s="12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 t="s">
        <v>51</v>
      </c>
      <c r="B16" s="2"/>
      <c r="C16" s="2"/>
      <c r="D16" s="2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 t="s">
        <v>52</v>
      </c>
      <c r="B17" s="2"/>
      <c r="C17" s="2"/>
      <c r="D17" s="2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 t="s">
        <v>53</v>
      </c>
      <c r="B18" s="2"/>
      <c r="C18" s="2"/>
      <c r="D18" s="2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 t="s">
        <v>54</v>
      </c>
      <c r="B19" s="2"/>
      <c r="C19" s="2"/>
      <c r="D19" s="2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 t="s">
        <v>55</v>
      </c>
      <c r="B20" s="2"/>
      <c r="C20" s="2"/>
      <c r="D20" s="2"/>
      <c r="E20" s="3"/>
      <c r="F20" s="3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3"/>
      <c r="F21" s="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3"/>
      <c r="F22" s="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3"/>
      <c r="F23" s="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3"/>
      <c r="F24" s="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3"/>
      <c r="F25" s="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3"/>
      <c r="F26" s="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3"/>
      <c r="F27" s="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3"/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3"/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3"/>
      <c r="F30" s="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3"/>
      <c r="F31" s="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3"/>
      <c r="F32" s="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3"/>
      <c r="F33" s="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3"/>
      <c r="F34" s="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3"/>
      <c r="F35" s="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3"/>
      <c r="F36" s="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3"/>
      <c r="F37" s="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3"/>
      <c r="F38" s="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3"/>
      <c r="F39" s="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3"/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3"/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3"/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3"/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3"/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3"/>
      <c r="F45" s="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3"/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3"/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3"/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3"/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3"/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3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3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3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3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3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3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3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3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3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3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3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3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3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3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3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3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3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3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3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3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3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3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3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3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3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3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3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3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3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3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3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3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3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3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3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3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3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3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3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3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3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3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3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3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3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3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3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3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3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3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3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3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3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3"/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3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3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3"/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3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3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3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3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3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3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3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3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3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3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3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3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3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3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3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3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3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3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3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3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3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3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3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3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3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3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3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3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3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3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3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3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3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3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3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3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3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3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3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3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3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3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3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3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3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3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3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3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3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3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3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3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3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3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3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3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3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3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3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3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3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3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3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3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3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3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3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3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3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3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3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3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3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3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3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3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3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3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3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3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3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3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3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3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3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3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3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3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3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3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3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3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3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3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3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3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3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3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3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3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3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3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3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3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3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3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3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3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3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3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3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3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3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3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3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3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3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3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3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3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3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3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3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3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3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3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3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3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3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3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3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3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3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3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3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3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3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3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3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3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3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3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3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3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3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3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3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3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3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3"/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3"/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3"/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3"/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3"/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3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3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3"/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3"/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3"/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3"/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3"/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3"/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3"/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3"/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3"/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3"/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3"/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3"/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3"/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3"/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3"/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3"/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3"/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3"/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3"/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3"/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3"/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3"/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3"/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3"/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3"/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3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3"/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3"/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3"/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3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3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3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3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3"/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3"/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3"/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3"/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3"/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3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3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3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3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3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3"/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3"/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3"/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3"/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3"/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3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3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3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3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3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3"/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3"/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3"/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3"/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3"/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3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3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3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3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3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3"/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3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3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3"/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3"/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3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3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3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3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3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3"/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3"/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3"/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3"/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3"/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3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3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3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3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3"/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3"/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3"/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3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3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3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3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3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3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3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3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3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3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3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3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3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3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3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3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3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3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3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3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3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3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3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3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3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3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3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3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3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3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3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3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3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3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3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3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3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3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3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3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3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3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3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3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3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3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3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3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3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3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3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3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3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3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3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3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3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3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3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3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3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3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3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3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3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3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3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3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3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3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3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3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3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3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3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3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3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3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3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3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3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3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3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3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3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3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3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3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3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3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3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3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3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3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3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3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3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3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3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3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3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3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3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3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3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3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3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3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3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3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3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3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3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3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3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3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3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3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3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3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3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3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3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3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3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3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3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3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3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3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3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3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3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3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3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3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3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3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3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3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3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3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3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3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3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3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3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3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3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3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3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3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3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3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3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3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3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3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3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3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3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3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3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3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3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3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3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3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3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3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3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3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3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3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3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3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3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3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3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3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3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3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3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3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3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3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3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3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3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3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3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3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3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3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3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3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3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3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3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3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3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3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3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3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3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3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3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3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3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3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3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3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3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3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3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3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3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3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3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3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3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3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3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3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3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3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3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3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3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3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3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3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3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3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3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3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3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3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3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3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3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3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3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3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3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3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3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3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3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3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3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3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3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3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3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3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3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3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3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3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3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3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3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3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3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3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3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3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3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3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3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3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3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3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3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3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3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3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3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3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3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3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3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3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3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3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3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3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3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3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3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3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3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3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3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3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3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3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3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3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3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3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3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3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3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3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3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3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3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3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3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3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3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3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3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3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3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3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3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3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3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3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3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3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3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3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3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3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3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3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3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3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3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3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3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3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3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3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3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3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3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3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3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3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3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3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3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3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3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3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3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3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3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3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3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3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3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3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3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3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3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3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3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3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3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3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3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3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3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3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3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3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3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3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3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3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3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3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3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3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3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3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3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3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3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3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3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3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3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3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3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3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3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3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3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3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3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3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3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3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3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3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3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3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3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3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3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3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3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3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3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3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3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3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3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3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3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3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3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3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3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3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3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3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3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3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3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3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3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3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3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3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3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3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3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3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3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3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3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3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3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3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3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3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3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3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3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3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3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3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3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3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3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3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3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3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3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3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3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3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3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3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3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3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3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3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3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3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3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3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3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3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3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3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3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3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3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3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3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3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3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3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3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3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3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3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3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3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3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3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3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3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3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3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3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3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3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3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3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3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3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3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3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3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3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3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3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3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3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3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3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3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3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3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3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3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3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3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3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3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3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3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3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3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3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3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3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3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3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3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3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3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3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3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3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3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3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3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3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3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3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3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3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3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3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3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3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3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3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3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3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3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3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3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3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3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3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3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3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3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3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3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3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3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3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3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3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3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3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3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3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3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3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3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3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3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3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3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3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3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3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3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3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3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3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3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3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3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3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3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3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3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3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3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3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3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3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3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3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3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3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3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3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3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3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3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3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3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3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3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3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3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3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3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3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3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3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3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3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3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E1000"/>
  <sheetViews>
    <sheetView showGridLines="0" tabSelected="1" workbookViewId="0">
      <selection activeCell="D17" sqref="D17"/>
    </sheetView>
  </sheetViews>
  <sheetFormatPr defaultColWidth="14.42578125" defaultRowHeight="15" customHeight="1"/>
  <cols>
    <col min="1" max="1" width="46" style="19" customWidth="1"/>
    <col min="2" max="2" width="48.7109375" style="19" customWidth="1"/>
    <col min="3" max="3" width="17" style="19" customWidth="1"/>
    <col min="4" max="4" width="37.42578125" style="19" customWidth="1"/>
    <col min="5" max="5" width="13.28515625" style="19" customWidth="1"/>
    <col min="6" max="26" width="8.7109375" style="19" customWidth="1"/>
    <col min="27" max="16384" width="14.42578125" style="19"/>
  </cols>
  <sheetData>
    <row r="1" spans="1:5" ht="15.6">
      <c r="A1" s="18" t="s">
        <v>0</v>
      </c>
    </row>
    <row r="2" spans="1:5" ht="14.45">
      <c r="A2" s="20" t="s">
        <v>56</v>
      </c>
      <c r="B2" s="29">
        <v>2127</v>
      </c>
    </row>
    <row r="3" spans="1:5" ht="14.45">
      <c r="A3" s="20" t="s">
        <v>57</v>
      </c>
      <c r="B3" s="21" t="s">
        <v>58</v>
      </c>
    </row>
    <row r="4" spans="1:5" ht="14.45">
      <c r="C4" s="31" t="s">
        <v>59</v>
      </c>
      <c r="D4" s="32"/>
      <c r="E4" s="33"/>
    </row>
    <row r="5" spans="1:5" ht="14.45">
      <c r="A5" s="22" t="s">
        <v>60</v>
      </c>
      <c r="B5" s="22" t="s">
        <v>2</v>
      </c>
      <c r="C5" s="22" t="s">
        <v>61</v>
      </c>
      <c r="D5" s="22" t="s">
        <v>62</v>
      </c>
      <c r="E5" s="22" t="s">
        <v>63</v>
      </c>
    </row>
    <row r="6" spans="1:5" ht="14.45">
      <c r="A6" s="21" t="s">
        <v>64</v>
      </c>
      <c r="B6" s="21" t="s">
        <v>65</v>
      </c>
      <c r="C6" s="28">
        <v>4</v>
      </c>
      <c r="D6" s="27" t="s">
        <v>66</v>
      </c>
      <c r="E6" s="28">
        <v>2</v>
      </c>
    </row>
    <row r="7" spans="1:5" ht="14.45">
      <c r="A7" s="21" t="s">
        <v>67</v>
      </c>
      <c r="B7" s="21" t="s">
        <v>68</v>
      </c>
      <c r="C7" s="28">
        <v>3</v>
      </c>
      <c r="D7" s="27" t="s">
        <v>69</v>
      </c>
      <c r="E7" s="28">
        <v>2</v>
      </c>
    </row>
    <row r="8" spans="1:5">
      <c r="A8" s="34" t="s">
        <v>70</v>
      </c>
      <c r="B8" s="37" t="s">
        <v>71</v>
      </c>
      <c r="C8" s="40">
        <v>14</v>
      </c>
      <c r="D8" s="37" t="s">
        <v>72</v>
      </c>
      <c r="E8" s="45">
        <v>6</v>
      </c>
    </row>
    <row r="9" spans="1:5" ht="14.45">
      <c r="A9" s="35"/>
      <c r="B9" s="38"/>
      <c r="C9" s="41"/>
      <c r="D9" s="43"/>
      <c r="E9" s="41"/>
    </row>
    <row r="10" spans="1:5" ht="14.45">
      <c r="A10" s="36"/>
      <c r="B10" s="39"/>
      <c r="C10" s="42"/>
      <c r="D10" s="44"/>
      <c r="E10" s="42"/>
    </row>
    <row r="11" spans="1:5">
      <c r="A11" s="27" t="s">
        <v>73</v>
      </c>
      <c r="B11" s="21" t="s">
        <v>74</v>
      </c>
      <c r="C11" s="30" t="s">
        <v>75</v>
      </c>
      <c r="D11" s="27" t="s">
        <v>76</v>
      </c>
      <c r="E11" s="28">
        <v>2</v>
      </c>
    </row>
    <row r="12" spans="1:5" ht="14.45">
      <c r="A12" s="21" t="s">
        <v>77</v>
      </c>
      <c r="B12" s="27" t="s">
        <v>77</v>
      </c>
      <c r="C12" s="21" t="s">
        <v>78</v>
      </c>
      <c r="D12" s="27" t="s">
        <v>79</v>
      </c>
      <c r="E12" s="28">
        <v>1</v>
      </c>
    </row>
    <row r="13" spans="1:5" ht="14.45">
      <c r="A13" s="21" t="s">
        <v>43</v>
      </c>
      <c r="B13" s="21" t="s">
        <v>80</v>
      </c>
      <c r="C13" s="21" t="s">
        <v>78</v>
      </c>
      <c r="D13" s="27" t="s">
        <v>81</v>
      </c>
      <c r="E13" s="28">
        <v>1</v>
      </c>
    </row>
    <row r="16" spans="1:5" ht="14.45">
      <c r="A16" s="23" t="s">
        <v>49</v>
      </c>
    </row>
    <row r="17" spans="1:1" ht="14.45">
      <c r="A17" s="24" t="s">
        <v>82</v>
      </c>
    </row>
    <row r="18" spans="1:1" ht="14.45">
      <c r="A18" s="25" t="s">
        <v>83</v>
      </c>
    </row>
    <row r="19" spans="1:1" ht="14.45">
      <c r="A19" s="25" t="s">
        <v>84</v>
      </c>
    </row>
    <row r="20" spans="1:1" ht="15.6">
      <c r="A20" s="26" t="s">
        <v>55</v>
      </c>
    </row>
    <row r="21" spans="1:1" ht="15.75" customHeight="1">
      <c r="A21" s="25" t="s">
        <v>85</v>
      </c>
    </row>
    <row r="22" spans="1:1" ht="15.75" customHeight="1"/>
    <row r="23" spans="1:1" ht="15.75" customHeight="1"/>
    <row r="24" spans="1:1" ht="15.75" customHeight="1"/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s="19" customFormat="1" ht="15.75" customHeight="1"/>
    <row r="34" s="19" customFormat="1" ht="15.75" customHeight="1"/>
    <row r="35" s="19" customFormat="1" ht="15.75" customHeight="1"/>
    <row r="36" s="19" customFormat="1" ht="15.75" customHeight="1"/>
    <row r="37" s="19" customFormat="1" ht="15.75" customHeight="1"/>
    <row r="38" s="19" customFormat="1" ht="15.75" customHeight="1"/>
    <row r="39" s="19" customFormat="1" ht="15.75" customHeight="1"/>
    <row r="40" s="19" customFormat="1" ht="15.75" customHeight="1"/>
    <row r="41" s="19" customFormat="1" ht="15.75" customHeight="1"/>
    <row r="42" s="19" customFormat="1" ht="15.75" customHeight="1"/>
    <row r="43" s="19" customFormat="1" ht="15.75" customHeight="1"/>
    <row r="44" s="19" customFormat="1" ht="15.75" customHeight="1"/>
    <row r="45" s="19" customFormat="1" ht="15.75" customHeight="1"/>
    <row r="46" s="19" customFormat="1" ht="15.75" customHeight="1"/>
    <row r="47" s="19" customFormat="1" ht="15.75" customHeight="1"/>
    <row r="48" s="19" customFormat="1" ht="15.75" customHeight="1"/>
    <row r="49" s="19" customFormat="1" ht="15.75" customHeight="1"/>
    <row r="50" s="19" customFormat="1" ht="15.75" customHeight="1"/>
    <row r="51" s="19" customFormat="1" ht="15.75" customHeight="1"/>
    <row r="52" s="19" customFormat="1" ht="15.75" customHeight="1"/>
    <row r="53" s="19" customFormat="1" ht="15.75" customHeight="1"/>
    <row r="54" s="19" customFormat="1" ht="15.75" customHeight="1"/>
    <row r="55" s="19" customFormat="1" ht="15.75" customHeight="1"/>
    <row r="56" s="19" customFormat="1" ht="15.75" customHeight="1"/>
    <row r="57" s="19" customFormat="1" ht="15.75" customHeight="1"/>
    <row r="58" s="19" customFormat="1" ht="15.75" customHeight="1"/>
    <row r="59" s="19" customFormat="1" ht="15.75" customHeight="1"/>
    <row r="60" s="19" customFormat="1" ht="15.75" customHeight="1"/>
    <row r="61" s="19" customFormat="1" ht="15.75" customHeight="1"/>
    <row r="62" s="19" customFormat="1" ht="15.75" customHeight="1"/>
    <row r="63" s="19" customFormat="1" ht="15.75" customHeight="1"/>
    <row r="64" s="19" customFormat="1" ht="15.75" customHeight="1"/>
    <row r="65" s="19" customFormat="1" ht="15.75" customHeight="1"/>
    <row r="66" s="19" customFormat="1" ht="15.75" customHeight="1"/>
    <row r="67" s="19" customFormat="1" ht="15.75" customHeight="1"/>
    <row r="68" s="19" customFormat="1" ht="15.75" customHeight="1"/>
    <row r="69" s="19" customFormat="1" ht="15.75" customHeight="1"/>
    <row r="70" s="19" customFormat="1" ht="15.75" customHeight="1"/>
    <row r="71" s="19" customFormat="1" ht="15.75" customHeight="1"/>
    <row r="72" s="19" customFormat="1" ht="15.75" customHeight="1"/>
    <row r="73" s="19" customFormat="1" ht="15.75" customHeight="1"/>
    <row r="74" s="19" customFormat="1" ht="15.75" customHeight="1"/>
    <row r="75" s="19" customFormat="1" ht="15.75" customHeight="1"/>
    <row r="76" s="19" customFormat="1" ht="15.75" customHeight="1"/>
    <row r="77" s="19" customFormat="1" ht="15.75" customHeight="1"/>
    <row r="78" s="19" customFormat="1" ht="15.75" customHeight="1"/>
    <row r="79" s="19" customFormat="1" ht="15.75" customHeight="1"/>
    <row r="80" s="19" customFormat="1" ht="15.75" customHeight="1"/>
    <row r="81" s="19" customFormat="1" ht="15.75" customHeight="1"/>
    <row r="82" s="19" customFormat="1" ht="15.75" customHeight="1"/>
    <row r="83" s="19" customFormat="1" ht="15.75" customHeight="1"/>
    <row r="84" s="19" customFormat="1" ht="15.75" customHeight="1"/>
    <row r="85" s="19" customFormat="1" ht="15.75" customHeight="1"/>
    <row r="86" s="19" customFormat="1" ht="15.75" customHeight="1"/>
    <row r="87" s="19" customFormat="1" ht="15.75" customHeight="1"/>
    <row r="88" s="19" customFormat="1" ht="15.75" customHeight="1"/>
    <row r="89" s="19" customFormat="1" ht="15.75" customHeight="1"/>
    <row r="90" s="19" customFormat="1" ht="15.75" customHeight="1"/>
    <row r="91" s="19" customFormat="1" ht="15.75" customHeight="1"/>
    <row r="92" s="19" customFormat="1" ht="15.75" customHeight="1"/>
    <row r="93" s="19" customFormat="1" ht="15.75" customHeight="1"/>
    <row r="94" s="19" customFormat="1" ht="15.75" customHeight="1"/>
    <row r="95" s="19" customFormat="1" ht="15.75" customHeight="1"/>
    <row r="96" s="19" customFormat="1" ht="15.75" customHeight="1"/>
    <row r="97" s="19" customFormat="1" ht="15.75" customHeight="1"/>
    <row r="98" s="19" customFormat="1" ht="15.75" customHeight="1"/>
    <row r="99" s="19" customFormat="1" ht="15.75" customHeight="1"/>
    <row r="100" s="19" customFormat="1" ht="15.75" customHeight="1"/>
    <row r="101" s="19" customFormat="1" ht="15.75" customHeight="1"/>
    <row r="102" s="19" customFormat="1" ht="15.75" customHeight="1"/>
    <row r="103" s="19" customFormat="1" ht="15.75" customHeight="1"/>
    <row r="104" s="19" customFormat="1" ht="15.75" customHeight="1"/>
    <row r="105" s="19" customFormat="1" ht="15.75" customHeight="1"/>
    <row r="106" s="19" customFormat="1" ht="15.75" customHeight="1"/>
    <row r="107" s="19" customFormat="1" ht="15.75" customHeight="1"/>
    <row r="108" s="19" customFormat="1" ht="15.75" customHeight="1"/>
    <row r="109" s="19" customFormat="1" ht="15.75" customHeight="1"/>
    <row r="110" s="19" customFormat="1" ht="15.75" customHeight="1"/>
    <row r="111" s="19" customFormat="1" ht="15.75" customHeight="1"/>
    <row r="112" s="19" customFormat="1" ht="15.75" customHeight="1"/>
    <row r="113" s="19" customFormat="1" ht="15.75" customHeight="1"/>
    <row r="114" s="19" customFormat="1" ht="15.75" customHeight="1"/>
    <row r="115" s="19" customFormat="1" ht="15.75" customHeight="1"/>
    <row r="116" s="19" customFormat="1" ht="15.75" customHeight="1"/>
    <row r="117" s="19" customFormat="1" ht="15.75" customHeight="1"/>
    <row r="118" s="19" customFormat="1" ht="15.75" customHeight="1"/>
    <row r="119" s="19" customFormat="1" ht="15.75" customHeight="1"/>
    <row r="120" s="19" customFormat="1" ht="15.75" customHeight="1"/>
    <row r="121" s="19" customFormat="1" ht="15.75" customHeight="1"/>
    <row r="122" s="19" customFormat="1" ht="15.75" customHeight="1"/>
    <row r="123" s="19" customFormat="1" ht="15.75" customHeight="1"/>
    <row r="124" s="19" customFormat="1" ht="15.75" customHeight="1"/>
    <row r="125" s="19" customFormat="1" ht="15.75" customHeight="1"/>
    <row r="126" s="19" customFormat="1" ht="15.75" customHeight="1"/>
    <row r="127" s="19" customFormat="1" ht="15.75" customHeight="1"/>
    <row r="128" s="19" customFormat="1" ht="15.75" customHeight="1"/>
    <row r="129" s="19" customFormat="1" ht="15.75" customHeight="1"/>
    <row r="130" s="19" customFormat="1" ht="15.75" customHeight="1"/>
    <row r="131" s="19" customFormat="1" ht="15.75" customHeight="1"/>
    <row r="132" s="19" customFormat="1" ht="15.75" customHeight="1"/>
    <row r="133" s="19" customFormat="1" ht="15.75" customHeight="1"/>
    <row r="134" s="19" customFormat="1" ht="15.75" customHeight="1"/>
    <row r="135" s="19" customFormat="1" ht="15.75" customHeight="1"/>
    <row r="136" s="19" customFormat="1" ht="15.75" customHeight="1"/>
    <row r="137" s="19" customFormat="1" ht="15.75" customHeight="1"/>
    <row r="138" s="19" customFormat="1" ht="15.75" customHeight="1"/>
    <row r="139" s="19" customFormat="1" ht="15.75" customHeight="1"/>
    <row r="140" s="19" customFormat="1" ht="15.75" customHeight="1"/>
    <row r="141" s="19" customFormat="1" ht="15.75" customHeight="1"/>
    <row r="142" s="19" customFormat="1" ht="15.75" customHeight="1"/>
    <row r="143" s="19" customFormat="1" ht="15.75" customHeight="1"/>
    <row r="144" s="19" customFormat="1" ht="15.75" customHeight="1"/>
    <row r="145" s="19" customFormat="1" ht="15.75" customHeight="1"/>
    <row r="146" s="19" customFormat="1" ht="15.75" customHeight="1"/>
    <row r="147" s="19" customFormat="1" ht="15.75" customHeight="1"/>
    <row r="148" s="19" customFormat="1" ht="15.75" customHeight="1"/>
    <row r="149" s="19" customFormat="1" ht="15.75" customHeight="1"/>
    <row r="150" s="19" customFormat="1" ht="15.75" customHeight="1"/>
    <row r="151" s="19" customFormat="1" ht="15.75" customHeight="1"/>
    <row r="152" s="19" customFormat="1" ht="15.75" customHeight="1"/>
    <row r="153" s="19" customFormat="1" ht="15.75" customHeight="1"/>
    <row r="154" s="19" customFormat="1" ht="15.75" customHeight="1"/>
    <row r="155" s="19" customFormat="1" ht="15.75" customHeight="1"/>
    <row r="156" s="19" customFormat="1" ht="15.75" customHeight="1"/>
    <row r="157" s="19" customFormat="1" ht="15.75" customHeight="1"/>
    <row r="158" s="19" customFormat="1" ht="15.75" customHeight="1"/>
    <row r="159" s="19" customFormat="1" ht="15.75" customHeight="1"/>
    <row r="160" s="19" customFormat="1" ht="15.75" customHeight="1"/>
    <row r="161" s="19" customFormat="1" ht="15.75" customHeight="1"/>
    <row r="162" s="19" customFormat="1" ht="15.75" customHeight="1"/>
    <row r="163" s="19" customFormat="1" ht="15.75" customHeight="1"/>
    <row r="164" s="19" customFormat="1" ht="15.75" customHeight="1"/>
    <row r="165" s="19" customFormat="1" ht="15.75" customHeight="1"/>
    <row r="166" s="19" customFormat="1" ht="15.75" customHeight="1"/>
    <row r="167" s="19" customFormat="1" ht="15.75" customHeight="1"/>
    <row r="168" s="19" customFormat="1" ht="15.75" customHeight="1"/>
    <row r="169" s="19" customFormat="1" ht="15.75" customHeight="1"/>
    <row r="170" s="19" customFormat="1" ht="15.75" customHeight="1"/>
    <row r="171" s="19" customFormat="1" ht="15.75" customHeight="1"/>
    <row r="172" s="19" customFormat="1" ht="15.75" customHeight="1"/>
    <row r="173" s="19" customFormat="1" ht="15.75" customHeight="1"/>
    <row r="174" s="19" customFormat="1" ht="15.75" customHeight="1"/>
    <row r="175" s="19" customFormat="1" ht="15.75" customHeight="1"/>
    <row r="176" s="19" customFormat="1" ht="15.75" customHeight="1"/>
    <row r="177" s="19" customFormat="1" ht="15.75" customHeight="1"/>
    <row r="178" s="19" customFormat="1" ht="15.75" customHeight="1"/>
    <row r="179" s="19" customFormat="1" ht="15.75" customHeight="1"/>
    <row r="180" s="19" customFormat="1" ht="15.75" customHeight="1"/>
    <row r="181" s="19" customFormat="1" ht="15.75" customHeight="1"/>
    <row r="182" s="19" customFormat="1" ht="15.75" customHeight="1"/>
    <row r="183" s="19" customFormat="1" ht="15.75" customHeight="1"/>
    <row r="184" s="19" customFormat="1" ht="15.75" customHeight="1"/>
    <row r="185" s="19" customFormat="1" ht="15.75" customHeight="1"/>
    <row r="186" s="19" customFormat="1" ht="15.75" customHeight="1"/>
    <row r="187" s="19" customFormat="1" ht="15.75" customHeight="1"/>
    <row r="188" s="19" customFormat="1" ht="15.75" customHeight="1"/>
    <row r="189" s="19" customFormat="1" ht="15.75" customHeight="1"/>
    <row r="190" s="19" customFormat="1" ht="15.75" customHeight="1"/>
    <row r="191" s="19" customFormat="1" ht="15.75" customHeight="1"/>
    <row r="192" s="19" customFormat="1" ht="15.75" customHeight="1"/>
    <row r="193" s="19" customFormat="1" ht="15.75" customHeight="1"/>
    <row r="194" s="19" customFormat="1" ht="15.75" customHeight="1"/>
    <row r="195" s="19" customFormat="1" ht="15.75" customHeight="1"/>
    <row r="196" s="19" customFormat="1" ht="15.75" customHeight="1"/>
    <row r="197" s="19" customFormat="1" ht="15.75" customHeight="1"/>
    <row r="198" s="19" customFormat="1" ht="15.75" customHeight="1"/>
    <row r="199" s="19" customFormat="1" ht="15.75" customHeight="1"/>
    <row r="200" s="19" customFormat="1" ht="15.75" customHeight="1"/>
    <row r="201" s="19" customFormat="1" ht="15.75" customHeight="1"/>
    <row r="202" s="19" customFormat="1" ht="15.75" customHeight="1"/>
    <row r="203" s="19" customFormat="1" ht="15.75" customHeight="1"/>
    <row r="204" s="19" customFormat="1" ht="15.75" customHeight="1"/>
    <row r="205" s="19" customFormat="1" ht="15.75" customHeight="1"/>
    <row r="206" s="19" customFormat="1" ht="15.75" customHeight="1"/>
    <row r="207" s="19" customFormat="1" ht="15.75" customHeight="1"/>
    <row r="208" s="19" customFormat="1" ht="15.75" customHeight="1"/>
    <row r="209" s="19" customFormat="1" ht="15.75" customHeight="1"/>
    <row r="210" s="19" customFormat="1" ht="15.75" customHeight="1"/>
    <row r="211" s="19" customFormat="1" ht="15.75" customHeight="1"/>
    <row r="212" s="19" customFormat="1" ht="15.75" customHeight="1"/>
    <row r="213" s="19" customFormat="1" ht="15.75" customHeight="1"/>
    <row r="214" s="19" customFormat="1" ht="15.75" customHeight="1"/>
    <row r="215" s="19" customFormat="1" ht="15.75" customHeight="1"/>
    <row r="216" s="19" customFormat="1" ht="15.75" customHeight="1"/>
    <row r="217" s="19" customFormat="1" ht="15.75" customHeight="1"/>
    <row r="218" s="19" customFormat="1" ht="15.75" customHeight="1"/>
    <row r="219" s="19" customFormat="1" ht="15.75" customHeight="1"/>
    <row r="220" s="19" customFormat="1" ht="15.75" customHeight="1"/>
    <row r="221" s="19" customFormat="1" ht="15.75" customHeight="1"/>
    <row r="222" s="19" customFormat="1" ht="15.75" customHeight="1"/>
    <row r="223" s="19" customFormat="1" ht="15.75" customHeight="1"/>
    <row r="224" s="19" customFormat="1" ht="15.75" customHeight="1"/>
    <row r="225" s="19" customFormat="1" ht="15.75" customHeight="1"/>
    <row r="226" s="19" customFormat="1" ht="15.75" customHeight="1"/>
    <row r="227" s="19" customFormat="1" ht="15.75" customHeight="1"/>
    <row r="228" s="19" customFormat="1" ht="15.75" customHeight="1"/>
    <row r="229" s="19" customFormat="1" ht="15.75" customHeight="1"/>
    <row r="230" s="19" customFormat="1" ht="15.75" customHeight="1"/>
    <row r="231" s="19" customFormat="1" ht="15.75" customHeight="1"/>
    <row r="232" s="19" customFormat="1" ht="15.75" customHeight="1"/>
    <row r="233" s="19" customFormat="1" ht="15.75" customHeight="1"/>
    <row r="234" s="19" customFormat="1" ht="15.75" customHeight="1"/>
    <row r="235" s="19" customFormat="1" ht="15.75" customHeight="1"/>
    <row r="236" s="19" customFormat="1" ht="15.75" customHeight="1"/>
    <row r="237" s="19" customFormat="1" ht="15.75" customHeight="1"/>
    <row r="238" s="19" customFormat="1" ht="15.75" customHeight="1"/>
    <row r="239" s="19" customFormat="1" ht="15.75" customHeight="1"/>
    <row r="240" s="19" customFormat="1" ht="15.75" customHeight="1"/>
    <row r="241" s="19" customFormat="1" ht="15.75" customHeight="1"/>
    <row r="242" s="19" customFormat="1" ht="15.75" customHeight="1"/>
    <row r="243" s="19" customFormat="1" ht="15.75" customHeight="1"/>
    <row r="244" s="19" customFormat="1" ht="15.75" customHeight="1"/>
    <row r="245" s="19" customFormat="1" ht="15.75" customHeight="1"/>
    <row r="246" s="19" customFormat="1" ht="15.75" customHeight="1"/>
    <row r="247" s="19" customFormat="1" ht="15.75" customHeight="1"/>
    <row r="248" s="19" customFormat="1" ht="15.75" customHeight="1"/>
    <row r="249" s="19" customFormat="1" ht="15.75" customHeight="1"/>
    <row r="250" s="19" customFormat="1" ht="15.75" customHeight="1"/>
    <row r="251" s="19" customFormat="1" ht="15.75" customHeight="1"/>
    <row r="252" s="19" customFormat="1" ht="15.75" customHeight="1"/>
    <row r="253" s="19" customFormat="1" ht="15.75" customHeight="1"/>
    <row r="254" s="19" customFormat="1" ht="15.75" customHeight="1"/>
    <row r="255" s="19" customFormat="1" ht="15.75" customHeight="1"/>
    <row r="256" s="19" customFormat="1" ht="15.75" customHeight="1"/>
    <row r="257" s="19" customFormat="1" ht="15.75" customHeight="1"/>
    <row r="258" s="19" customFormat="1" ht="15.75" customHeight="1"/>
    <row r="259" s="19" customFormat="1" ht="15.75" customHeight="1"/>
    <row r="260" s="19" customFormat="1" ht="15.75" customHeight="1"/>
    <row r="261" s="19" customFormat="1" ht="15.75" customHeight="1"/>
    <row r="262" s="19" customFormat="1" ht="15.75" customHeight="1"/>
    <row r="263" s="19" customFormat="1" ht="15.75" customHeight="1"/>
    <row r="264" s="19" customFormat="1" ht="15.75" customHeight="1"/>
    <row r="265" s="19" customFormat="1" ht="15.75" customHeight="1"/>
    <row r="266" s="19" customFormat="1" ht="15.75" customHeight="1"/>
    <row r="267" s="19" customFormat="1" ht="15.75" customHeight="1"/>
    <row r="268" s="19" customFormat="1" ht="15.75" customHeight="1"/>
    <row r="269" s="19" customFormat="1" ht="15.75" customHeight="1"/>
    <row r="270" s="19" customFormat="1" ht="15.75" customHeight="1"/>
    <row r="271" s="19" customFormat="1" ht="15.75" customHeight="1"/>
    <row r="272" s="19" customFormat="1" ht="15.75" customHeight="1"/>
    <row r="273" s="19" customFormat="1" ht="15.75" customHeight="1"/>
    <row r="274" s="19" customFormat="1" ht="15.75" customHeight="1"/>
    <row r="275" s="19" customFormat="1" ht="15.75" customHeight="1"/>
    <row r="276" s="19" customFormat="1" ht="15.75" customHeight="1"/>
    <row r="277" s="19" customFormat="1" ht="15.75" customHeight="1"/>
    <row r="278" s="19" customFormat="1" ht="15.75" customHeight="1"/>
    <row r="279" s="19" customFormat="1" ht="15.75" customHeight="1"/>
    <row r="280" s="19" customFormat="1" ht="15.75" customHeight="1"/>
    <row r="281" s="19" customFormat="1" ht="15.75" customHeight="1"/>
    <row r="282" s="19" customFormat="1" ht="15.75" customHeight="1"/>
    <row r="283" s="19" customFormat="1" ht="15.75" customHeight="1"/>
    <row r="284" s="19" customFormat="1" ht="15.75" customHeight="1"/>
    <row r="285" s="19" customFormat="1" ht="15.75" customHeight="1"/>
    <row r="286" s="19" customFormat="1" ht="15.75" customHeight="1"/>
    <row r="287" s="19" customFormat="1" ht="15.75" customHeight="1"/>
    <row r="288" s="19" customFormat="1" ht="15.75" customHeight="1"/>
    <row r="289" s="19" customFormat="1" ht="15.75" customHeight="1"/>
    <row r="290" s="19" customFormat="1" ht="15.75" customHeight="1"/>
    <row r="291" s="19" customFormat="1" ht="15.75" customHeight="1"/>
    <row r="292" s="19" customFormat="1" ht="15.75" customHeight="1"/>
    <row r="293" s="19" customFormat="1" ht="15.75" customHeight="1"/>
    <row r="294" s="19" customFormat="1" ht="15.75" customHeight="1"/>
    <row r="295" s="19" customFormat="1" ht="15.75" customHeight="1"/>
    <row r="296" s="19" customFormat="1" ht="15.75" customHeight="1"/>
    <row r="297" s="19" customFormat="1" ht="15.75" customHeight="1"/>
    <row r="298" s="19" customFormat="1" ht="15.75" customHeight="1"/>
    <row r="299" s="19" customFormat="1" ht="15.75" customHeight="1"/>
    <row r="300" s="19" customFormat="1" ht="15.75" customHeight="1"/>
    <row r="301" s="19" customFormat="1" ht="15.75" customHeight="1"/>
    <row r="302" s="19" customFormat="1" ht="15.75" customHeight="1"/>
    <row r="303" s="19" customFormat="1" ht="15.75" customHeight="1"/>
    <row r="304" s="19" customFormat="1" ht="15.75" customHeight="1"/>
    <row r="305" s="19" customFormat="1" ht="15.75" customHeight="1"/>
    <row r="306" s="19" customFormat="1" ht="15.75" customHeight="1"/>
    <row r="307" s="19" customFormat="1" ht="15.75" customHeight="1"/>
    <row r="308" s="19" customFormat="1" ht="15.75" customHeight="1"/>
    <row r="309" s="19" customFormat="1" ht="15.75" customHeight="1"/>
    <row r="310" s="19" customFormat="1" ht="15.75" customHeight="1"/>
    <row r="311" s="19" customFormat="1" ht="15.75" customHeight="1"/>
    <row r="312" s="19" customFormat="1" ht="15.75" customHeight="1"/>
    <row r="313" s="19" customFormat="1" ht="15.75" customHeight="1"/>
    <row r="314" s="19" customFormat="1" ht="15.75" customHeight="1"/>
    <row r="315" s="19" customFormat="1" ht="15.75" customHeight="1"/>
    <row r="316" s="19" customFormat="1" ht="15.75" customHeight="1"/>
    <row r="317" s="19" customFormat="1" ht="15.75" customHeight="1"/>
    <row r="318" s="19" customFormat="1" ht="15.75" customHeight="1"/>
    <row r="319" s="19" customFormat="1" ht="15.75" customHeight="1"/>
    <row r="320" s="19" customFormat="1" ht="15.75" customHeight="1"/>
    <row r="321" s="19" customFormat="1" ht="15.75" customHeight="1"/>
    <row r="322" s="19" customFormat="1" ht="15.75" customHeight="1"/>
    <row r="323" s="19" customFormat="1" ht="15.75" customHeight="1"/>
    <row r="324" s="19" customFormat="1" ht="15.75" customHeight="1"/>
    <row r="325" s="19" customFormat="1" ht="15.75" customHeight="1"/>
    <row r="326" s="19" customFormat="1" ht="15.75" customHeight="1"/>
    <row r="327" s="19" customFormat="1" ht="15.75" customHeight="1"/>
    <row r="328" s="19" customFormat="1" ht="15.75" customHeight="1"/>
    <row r="329" s="19" customFormat="1" ht="15.75" customHeight="1"/>
    <row r="330" s="19" customFormat="1" ht="15.75" customHeight="1"/>
    <row r="331" s="19" customFormat="1" ht="15.75" customHeight="1"/>
    <row r="332" s="19" customFormat="1" ht="15.75" customHeight="1"/>
    <row r="333" s="19" customFormat="1" ht="15.75" customHeight="1"/>
    <row r="334" s="19" customFormat="1" ht="15.75" customHeight="1"/>
    <row r="335" s="19" customFormat="1" ht="15.75" customHeight="1"/>
    <row r="336" s="19" customFormat="1" ht="15.75" customHeight="1"/>
    <row r="337" s="19" customFormat="1" ht="15.75" customHeight="1"/>
    <row r="338" s="19" customFormat="1" ht="15.75" customHeight="1"/>
    <row r="339" s="19" customFormat="1" ht="15.75" customHeight="1"/>
    <row r="340" s="19" customFormat="1" ht="15.75" customHeight="1"/>
    <row r="341" s="19" customFormat="1" ht="15.75" customHeight="1"/>
    <row r="342" s="19" customFormat="1" ht="15.75" customHeight="1"/>
    <row r="343" s="19" customFormat="1" ht="15.75" customHeight="1"/>
    <row r="344" s="19" customFormat="1" ht="15.75" customHeight="1"/>
    <row r="345" s="19" customFormat="1" ht="15.75" customHeight="1"/>
    <row r="346" s="19" customFormat="1" ht="15.75" customHeight="1"/>
    <row r="347" s="19" customFormat="1" ht="15.75" customHeight="1"/>
    <row r="348" s="19" customFormat="1" ht="15.75" customHeight="1"/>
    <row r="349" s="19" customFormat="1" ht="15.75" customHeight="1"/>
    <row r="350" s="19" customFormat="1" ht="15.75" customHeight="1"/>
    <row r="351" s="19" customFormat="1" ht="15.75" customHeight="1"/>
    <row r="352" s="19" customFormat="1" ht="15.75" customHeight="1"/>
    <row r="353" s="19" customFormat="1" ht="15.75" customHeight="1"/>
    <row r="354" s="19" customFormat="1" ht="15.75" customHeight="1"/>
    <row r="355" s="19" customFormat="1" ht="15.75" customHeight="1"/>
    <row r="356" s="19" customFormat="1" ht="15.75" customHeight="1"/>
    <row r="357" s="19" customFormat="1" ht="15.75" customHeight="1"/>
    <row r="358" s="19" customFormat="1" ht="15.75" customHeight="1"/>
    <row r="359" s="19" customFormat="1" ht="15.75" customHeight="1"/>
    <row r="360" s="19" customFormat="1" ht="15.75" customHeight="1"/>
    <row r="361" s="19" customFormat="1" ht="15.75" customHeight="1"/>
    <row r="362" s="19" customFormat="1" ht="15.75" customHeight="1"/>
    <row r="363" s="19" customFormat="1" ht="15.75" customHeight="1"/>
    <row r="364" s="19" customFormat="1" ht="15.75" customHeight="1"/>
    <row r="365" s="19" customFormat="1" ht="15.75" customHeight="1"/>
    <row r="366" s="19" customFormat="1" ht="15.75" customHeight="1"/>
    <row r="367" s="19" customFormat="1" ht="15.75" customHeight="1"/>
    <row r="368" s="19" customFormat="1" ht="15.75" customHeight="1"/>
    <row r="369" s="19" customFormat="1" ht="15.75" customHeight="1"/>
    <row r="370" s="19" customFormat="1" ht="15.75" customHeight="1"/>
    <row r="371" s="19" customFormat="1" ht="15.75" customHeight="1"/>
    <row r="372" s="19" customFormat="1" ht="15.75" customHeight="1"/>
    <row r="373" s="19" customFormat="1" ht="15.75" customHeight="1"/>
    <row r="374" s="19" customFormat="1" ht="15.75" customHeight="1"/>
    <row r="375" s="19" customFormat="1" ht="15.75" customHeight="1"/>
    <row r="376" s="19" customFormat="1" ht="15.75" customHeight="1"/>
    <row r="377" s="19" customFormat="1" ht="15.75" customHeight="1"/>
    <row r="378" s="19" customFormat="1" ht="15.75" customHeight="1"/>
    <row r="379" s="19" customFormat="1" ht="15.75" customHeight="1"/>
    <row r="380" s="19" customFormat="1" ht="15.75" customHeight="1"/>
    <row r="381" s="19" customFormat="1" ht="15.75" customHeight="1"/>
    <row r="382" s="19" customFormat="1" ht="15.75" customHeight="1"/>
    <row r="383" s="19" customFormat="1" ht="15.75" customHeight="1"/>
    <row r="384" s="19" customFormat="1" ht="15.75" customHeight="1"/>
    <row r="385" s="19" customFormat="1" ht="15.75" customHeight="1"/>
    <row r="386" s="19" customFormat="1" ht="15.75" customHeight="1"/>
    <row r="387" s="19" customFormat="1" ht="15.75" customHeight="1"/>
    <row r="388" s="19" customFormat="1" ht="15.75" customHeight="1"/>
    <row r="389" s="19" customFormat="1" ht="15.75" customHeight="1"/>
    <row r="390" s="19" customFormat="1" ht="15.75" customHeight="1"/>
    <row r="391" s="19" customFormat="1" ht="15.75" customHeight="1"/>
    <row r="392" s="19" customFormat="1" ht="15.75" customHeight="1"/>
    <row r="393" s="19" customFormat="1" ht="15.75" customHeight="1"/>
    <row r="394" s="19" customFormat="1" ht="15.75" customHeight="1"/>
    <row r="395" s="19" customFormat="1" ht="15.75" customHeight="1"/>
    <row r="396" s="19" customFormat="1" ht="15.75" customHeight="1"/>
    <row r="397" s="19" customFormat="1" ht="15.75" customHeight="1"/>
    <row r="398" s="19" customFormat="1" ht="15.75" customHeight="1"/>
    <row r="399" s="19" customFormat="1" ht="15.75" customHeight="1"/>
    <row r="400" s="19" customFormat="1" ht="15.75" customHeight="1"/>
    <row r="401" s="19" customFormat="1" ht="15.75" customHeight="1"/>
    <row r="402" s="19" customFormat="1" ht="15.75" customHeight="1"/>
    <row r="403" s="19" customFormat="1" ht="15.75" customHeight="1"/>
    <row r="404" s="19" customFormat="1" ht="15.75" customHeight="1"/>
    <row r="405" s="19" customFormat="1" ht="15.75" customHeight="1"/>
    <row r="406" s="19" customFormat="1" ht="15.75" customHeight="1"/>
    <row r="407" s="19" customFormat="1" ht="15.75" customHeight="1"/>
    <row r="408" s="19" customFormat="1" ht="15.75" customHeight="1"/>
    <row r="409" s="19" customFormat="1" ht="15.75" customHeight="1"/>
    <row r="410" s="19" customFormat="1" ht="15.75" customHeight="1"/>
    <row r="411" s="19" customFormat="1" ht="15.75" customHeight="1"/>
    <row r="412" s="19" customFormat="1" ht="15.75" customHeight="1"/>
    <row r="413" s="19" customFormat="1" ht="15.75" customHeight="1"/>
    <row r="414" s="19" customFormat="1" ht="15.75" customHeight="1"/>
    <row r="415" s="19" customFormat="1" ht="15.75" customHeight="1"/>
    <row r="416" s="19" customFormat="1" ht="15.75" customHeight="1"/>
    <row r="417" s="19" customFormat="1" ht="15.75" customHeight="1"/>
    <row r="418" s="19" customFormat="1" ht="15.75" customHeight="1"/>
    <row r="419" s="19" customFormat="1" ht="15.75" customHeight="1"/>
    <row r="420" s="19" customFormat="1" ht="15.75" customHeight="1"/>
    <row r="421" s="19" customFormat="1" ht="15.75" customHeight="1"/>
    <row r="422" s="19" customFormat="1" ht="15.75" customHeight="1"/>
    <row r="423" s="19" customFormat="1" ht="15.75" customHeight="1"/>
    <row r="424" s="19" customFormat="1" ht="15.75" customHeight="1"/>
    <row r="425" s="19" customFormat="1" ht="15.75" customHeight="1"/>
    <row r="426" s="19" customFormat="1" ht="15.75" customHeight="1"/>
    <row r="427" s="19" customFormat="1" ht="15.75" customHeight="1"/>
    <row r="428" s="19" customFormat="1" ht="15.75" customHeight="1"/>
    <row r="429" s="19" customFormat="1" ht="15.75" customHeight="1"/>
    <row r="430" s="19" customFormat="1" ht="15.75" customHeight="1"/>
    <row r="431" s="19" customFormat="1" ht="15.75" customHeight="1"/>
    <row r="432" s="19" customFormat="1" ht="15.75" customHeight="1"/>
    <row r="433" s="19" customFormat="1" ht="15.75" customHeight="1"/>
    <row r="434" s="19" customFormat="1" ht="15.75" customHeight="1"/>
    <row r="435" s="19" customFormat="1" ht="15.75" customHeight="1"/>
    <row r="436" s="19" customFormat="1" ht="15.75" customHeight="1"/>
    <row r="437" s="19" customFormat="1" ht="15.75" customHeight="1"/>
    <row r="438" s="19" customFormat="1" ht="15.75" customHeight="1"/>
    <row r="439" s="19" customFormat="1" ht="15.75" customHeight="1"/>
    <row r="440" s="19" customFormat="1" ht="15.75" customHeight="1"/>
    <row r="441" s="19" customFormat="1" ht="15.75" customHeight="1"/>
    <row r="442" s="19" customFormat="1" ht="15.75" customHeight="1"/>
    <row r="443" s="19" customFormat="1" ht="15.75" customHeight="1"/>
    <row r="444" s="19" customFormat="1" ht="15.75" customHeight="1"/>
    <row r="445" s="19" customFormat="1" ht="15.75" customHeight="1"/>
    <row r="446" s="19" customFormat="1" ht="15.75" customHeight="1"/>
    <row r="447" s="19" customFormat="1" ht="15.75" customHeight="1"/>
    <row r="448" s="19" customFormat="1" ht="15.75" customHeight="1"/>
    <row r="449" s="19" customFormat="1" ht="15.75" customHeight="1"/>
    <row r="450" s="19" customFormat="1" ht="15.75" customHeight="1"/>
    <row r="451" s="19" customFormat="1" ht="15.75" customHeight="1"/>
    <row r="452" s="19" customFormat="1" ht="15.75" customHeight="1"/>
    <row r="453" s="19" customFormat="1" ht="15.75" customHeight="1"/>
    <row r="454" s="19" customFormat="1" ht="15.75" customHeight="1"/>
    <row r="455" s="19" customFormat="1" ht="15.75" customHeight="1"/>
    <row r="456" s="19" customFormat="1" ht="15.75" customHeight="1"/>
    <row r="457" s="19" customFormat="1" ht="15.75" customHeight="1"/>
    <row r="458" s="19" customFormat="1" ht="15.75" customHeight="1"/>
    <row r="459" s="19" customFormat="1" ht="15.75" customHeight="1"/>
    <row r="460" s="19" customFormat="1" ht="15.75" customHeight="1"/>
    <row r="461" s="19" customFormat="1" ht="15.75" customHeight="1"/>
    <row r="462" s="19" customFormat="1" ht="15.75" customHeight="1"/>
    <row r="463" s="19" customFormat="1" ht="15.75" customHeight="1"/>
    <row r="464" s="19" customFormat="1" ht="15.75" customHeight="1"/>
    <row r="465" s="19" customFormat="1" ht="15.75" customHeight="1"/>
    <row r="466" s="19" customFormat="1" ht="15.75" customHeight="1"/>
    <row r="467" s="19" customFormat="1" ht="15.75" customHeight="1"/>
    <row r="468" s="19" customFormat="1" ht="15.75" customHeight="1"/>
    <row r="469" s="19" customFormat="1" ht="15.75" customHeight="1"/>
    <row r="470" s="19" customFormat="1" ht="15.75" customHeight="1"/>
    <row r="471" s="19" customFormat="1" ht="15.75" customHeight="1"/>
    <row r="472" s="19" customFormat="1" ht="15.75" customHeight="1"/>
    <row r="473" s="19" customFormat="1" ht="15.75" customHeight="1"/>
    <row r="474" s="19" customFormat="1" ht="15.75" customHeight="1"/>
    <row r="475" s="19" customFormat="1" ht="15.75" customHeight="1"/>
    <row r="476" s="19" customFormat="1" ht="15.75" customHeight="1"/>
    <row r="477" s="19" customFormat="1" ht="15.75" customHeight="1"/>
    <row r="478" s="19" customFormat="1" ht="15.75" customHeight="1"/>
    <row r="479" s="19" customFormat="1" ht="15.75" customHeight="1"/>
    <row r="480" s="19" customFormat="1" ht="15.75" customHeight="1"/>
    <row r="481" s="19" customFormat="1" ht="15.75" customHeight="1"/>
    <row r="482" s="19" customFormat="1" ht="15.75" customHeight="1"/>
    <row r="483" s="19" customFormat="1" ht="15.75" customHeight="1"/>
    <row r="484" s="19" customFormat="1" ht="15.75" customHeight="1"/>
    <row r="485" s="19" customFormat="1" ht="15.75" customHeight="1"/>
    <row r="486" s="19" customFormat="1" ht="15.75" customHeight="1"/>
    <row r="487" s="19" customFormat="1" ht="15.75" customHeight="1"/>
    <row r="488" s="19" customFormat="1" ht="15.75" customHeight="1"/>
    <row r="489" s="19" customFormat="1" ht="15.75" customHeight="1"/>
    <row r="490" s="19" customFormat="1" ht="15.75" customHeight="1"/>
    <row r="491" s="19" customFormat="1" ht="15.75" customHeight="1"/>
    <row r="492" s="19" customFormat="1" ht="15.75" customHeight="1"/>
    <row r="493" s="19" customFormat="1" ht="15.75" customHeight="1"/>
    <row r="494" s="19" customFormat="1" ht="15.75" customHeight="1"/>
    <row r="495" s="19" customFormat="1" ht="15.75" customHeight="1"/>
    <row r="496" s="19" customFormat="1" ht="15.75" customHeight="1"/>
    <row r="497" s="19" customFormat="1" ht="15.75" customHeight="1"/>
    <row r="498" s="19" customFormat="1" ht="15.75" customHeight="1"/>
    <row r="499" s="19" customFormat="1" ht="15.75" customHeight="1"/>
    <row r="500" s="19" customFormat="1" ht="15.75" customHeight="1"/>
    <row r="501" s="19" customFormat="1" ht="15.75" customHeight="1"/>
    <row r="502" s="19" customFormat="1" ht="15.75" customHeight="1"/>
    <row r="503" s="19" customFormat="1" ht="15.75" customHeight="1"/>
    <row r="504" s="19" customFormat="1" ht="15.75" customHeight="1"/>
    <row r="505" s="19" customFormat="1" ht="15.75" customHeight="1"/>
    <row r="506" s="19" customFormat="1" ht="15.75" customHeight="1"/>
    <row r="507" s="19" customFormat="1" ht="15.75" customHeight="1"/>
    <row r="508" s="19" customFormat="1" ht="15.75" customHeight="1"/>
    <row r="509" s="19" customFormat="1" ht="15.75" customHeight="1"/>
    <row r="510" s="19" customFormat="1" ht="15.75" customHeight="1"/>
    <row r="511" s="19" customFormat="1" ht="15.75" customHeight="1"/>
    <row r="512" s="19" customFormat="1" ht="15.75" customHeight="1"/>
    <row r="513" s="19" customFormat="1" ht="15.75" customHeight="1"/>
    <row r="514" s="19" customFormat="1" ht="15.75" customHeight="1"/>
    <row r="515" s="19" customFormat="1" ht="15.75" customHeight="1"/>
    <row r="516" s="19" customFormat="1" ht="15.75" customHeight="1"/>
    <row r="517" s="19" customFormat="1" ht="15.75" customHeight="1"/>
    <row r="518" s="19" customFormat="1" ht="15.75" customHeight="1"/>
    <row r="519" s="19" customFormat="1" ht="15.75" customHeight="1"/>
    <row r="520" s="19" customFormat="1" ht="15.75" customHeight="1"/>
    <row r="521" s="19" customFormat="1" ht="15.75" customHeight="1"/>
    <row r="522" s="19" customFormat="1" ht="15.75" customHeight="1"/>
    <row r="523" s="19" customFormat="1" ht="15.75" customHeight="1"/>
    <row r="524" s="19" customFormat="1" ht="15.75" customHeight="1"/>
    <row r="525" s="19" customFormat="1" ht="15.75" customHeight="1"/>
    <row r="526" s="19" customFormat="1" ht="15.75" customHeight="1"/>
    <row r="527" s="19" customFormat="1" ht="15.75" customHeight="1"/>
    <row r="528" s="19" customFormat="1" ht="15.75" customHeight="1"/>
    <row r="529" s="19" customFormat="1" ht="15.75" customHeight="1"/>
    <row r="530" s="19" customFormat="1" ht="15.75" customHeight="1"/>
    <row r="531" s="19" customFormat="1" ht="15.75" customHeight="1"/>
    <row r="532" s="19" customFormat="1" ht="15.75" customHeight="1"/>
    <row r="533" s="19" customFormat="1" ht="15.75" customHeight="1"/>
    <row r="534" s="19" customFormat="1" ht="15.75" customHeight="1"/>
    <row r="535" s="19" customFormat="1" ht="15.75" customHeight="1"/>
    <row r="536" s="19" customFormat="1" ht="15.75" customHeight="1"/>
    <row r="537" s="19" customFormat="1" ht="15.75" customHeight="1"/>
    <row r="538" s="19" customFormat="1" ht="15.75" customHeight="1"/>
    <row r="539" s="19" customFormat="1" ht="15.75" customHeight="1"/>
    <row r="540" s="19" customFormat="1" ht="15.75" customHeight="1"/>
    <row r="541" s="19" customFormat="1" ht="15.75" customHeight="1"/>
    <row r="542" s="19" customFormat="1" ht="15.75" customHeight="1"/>
    <row r="543" s="19" customFormat="1" ht="15.75" customHeight="1"/>
    <row r="544" s="19" customFormat="1" ht="15.75" customHeight="1"/>
    <row r="545" s="19" customFormat="1" ht="15.75" customHeight="1"/>
    <row r="546" s="19" customFormat="1" ht="15.75" customHeight="1"/>
    <row r="547" s="19" customFormat="1" ht="15.75" customHeight="1"/>
    <row r="548" s="19" customFormat="1" ht="15.75" customHeight="1"/>
    <row r="549" s="19" customFormat="1" ht="15.75" customHeight="1"/>
    <row r="550" s="19" customFormat="1" ht="15.75" customHeight="1"/>
    <row r="551" s="19" customFormat="1" ht="15.75" customHeight="1"/>
    <row r="552" s="19" customFormat="1" ht="15.75" customHeight="1"/>
    <row r="553" s="19" customFormat="1" ht="15.75" customHeight="1"/>
    <row r="554" s="19" customFormat="1" ht="15.75" customHeight="1"/>
    <row r="555" s="19" customFormat="1" ht="15.75" customHeight="1"/>
    <row r="556" s="19" customFormat="1" ht="15.75" customHeight="1"/>
    <row r="557" s="19" customFormat="1" ht="15.75" customHeight="1"/>
    <row r="558" s="19" customFormat="1" ht="15.75" customHeight="1"/>
    <row r="559" s="19" customFormat="1" ht="15.75" customHeight="1"/>
    <row r="560" s="19" customFormat="1" ht="15.75" customHeight="1"/>
    <row r="561" s="19" customFormat="1" ht="15.75" customHeight="1"/>
    <row r="562" s="19" customFormat="1" ht="15.75" customHeight="1"/>
    <row r="563" s="19" customFormat="1" ht="15.75" customHeight="1"/>
    <row r="564" s="19" customFormat="1" ht="15.75" customHeight="1"/>
    <row r="565" s="19" customFormat="1" ht="15.75" customHeight="1"/>
    <row r="566" s="19" customFormat="1" ht="15.75" customHeight="1"/>
    <row r="567" s="19" customFormat="1" ht="15.75" customHeight="1"/>
    <row r="568" s="19" customFormat="1" ht="15.75" customHeight="1"/>
    <row r="569" s="19" customFormat="1" ht="15.75" customHeight="1"/>
    <row r="570" s="19" customFormat="1" ht="15.75" customHeight="1"/>
    <row r="571" s="19" customFormat="1" ht="15.75" customHeight="1"/>
    <row r="572" s="19" customFormat="1" ht="15.75" customHeight="1"/>
    <row r="573" s="19" customFormat="1" ht="15.75" customHeight="1"/>
    <row r="574" s="19" customFormat="1" ht="15.75" customHeight="1"/>
    <row r="575" s="19" customFormat="1" ht="15.75" customHeight="1"/>
    <row r="576" s="19" customFormat="1" ht="15.75" customHeight="1"/>
    <row r="577" s="19" customFormat="1" ht="15.75" customHeight="1"/>
    <row r="578" s="19" customFormat="1" ht="15.75" customHeight="1"/>
    <row r="579" s="19" customFormat="1" ht="15.75" customHeight="1"/>
    <row r="580" s="19" customFormat="1" ht="15.75" customHeight="1"/>
    <row r="581" s="19" customFormat="1" ht="15.75" customHeight="1"/>
    <row r="582" s="19" customFormat="1" ht="15.75" customHeight="1"/>
    <row r="583" s="19" customFormat="1" ht="15.75" customHeight="1"/>
    <row r="584" s="19" customFormat="1" ht="15.75" customHeight="1"/>
    <row r="585" s="19" customFormat="1" ht="15.75" customHeight="1"/>
    <row r="586" s="19" customFormat="1" ht="15.75" customHeight="1"/>
    <row r="587" s="19" customFormat="1" ht="15.75" customHeight="1"/>
    <row r="588" s="19" customFormat="1" ht="15.75" customHeight="1"/>
    <row r="589" s="19" customFormat="1" ht="15.75" customHeight="1"/>
    <row r="590" s="19" customFormat="1" ht="15.75" customHeight="1"/>
    <row r="591" s="19" customFormat="1" ht="15.75" customHeight="1"/>
    <row r="592" s="19" customFormat="1" ht="15.75" customHeight="1"/>
    <row r="593" s="19" customFormat="1" ht="15.75" customHeight="1"/>
    <row r="594" s="19" customFormat="1" ht="15.75" customHeight="1"/>
    <row r="595" s="19" customFormat="1" ht="15.75" customHeight="1"/>
    <row r="596" s="19" customFormat="1" ht="15.75" customHeight="1"/>
    <row r="597" s="19" customFormat="1" ht="15.75" customHeight="1"/>
    <row r="598" s="19" customFormat="1" ht="15.75" customHeight="1"/>
    <row r="599" s="19" customFormat="1" ht="15.75" customHeight="1"/>
    <row r="600" s="19" customFormat="1" ht="15.75" customHeight="1"/>
    <row r="601" s="19" customFormat="1" ht="15.75" customHeight="1"/>
    <row r="602" s="19" customFormat="1" ht="15.75" customHeight="1"/>
    <row r="603" s="19" customFormat="1" ht="15.75" customHeight="1"/>
    <row r="604" s="19" customFormat="1" ht="15.75" customHeight="1"/>
    <row r="605" s="19" customFormat="1" ht="15.75" customHeight="1"/>
    <row r="606" s="19" customFormat="1" ht="15.75" customHeight="1"/>
    <row r="607" s="19" customFormat="1" ht="15.75" customHeight="1"/>
    <row r="608" s="19" customFormat="1" ht="15.75" customHeight="1"/>
    <row r="609" s="19" customFormat="1" ht="15.75" customHeight="1"/>
    <row r="610" s="19" customFormat="1" ht="15.75" customHeight="1"/>
    <row r="611" s="19" customFormat="1" ht="15.75" customHeight="1"/>
    <row r="612" s="19" customFormat="1" ht="15.75" customHeight="1"/>
    <row r="613" s="19" customFormat="1" ht="15.75" customHeight="1"/>
    <row r="614" s="19" customFormat="1" ht="15.75" customHeight="1"/>
    <row r="615" s="19" customFormat="1" ht="15.75" customHeight="1"/>
    <row r="616" s="19" customFormat="1" ht="15.75" customHeight="1"/>
    <row r="617" s="19" customFormat="1" ht="15.75" customHeight="1"/>
    <row r="618" s="19" customFormat="1" ht="15.75" customHeight="1"/>
    <row r="619" s="19" customFormat="1" ht="15.75" customHeight="1"/>
    <row r="620" s="19" customFormat="1" ht="15.75" customHeight="1"/>
    <row r="621" s="19" customFormat="1" ht="15.75" customHeight="1"/>
    <row r="622" s="19" customFormat="1" ht="15.75" customHeight="1"/>
    <row r="623" s="19" customFormat="1" ht="15.75" customHeight="1"/>
    <row r="624" s="19" customFormat="1" ht="15.75" customHeight="1"/>
    <row r="625" s="19" customFormat="1" ht="15.75" customHeight="1"/>
    <row r="626" s="19" customFormat="1" ht="15.75" customHeight="1"/>
    <row r="627" s="19" customFormat="1" ht="15.75" customHeight="1"/>
    <row r="628" s="19" customFormat="1" ht="15.75" customHeight="1"/>
    <row r="629" s="19" customFormat="1" ht="15.75" customHeight="1"/>
    <row r="630" s="19" customFormat="1" ht="15.75" customHeight="1"/>
    <row r="631" s="19" customFormat="1" ht="15.75" customHeight="1"/>
    <row r="632" s="19" customFormat="1" ht="15.75" customHeight="1"/>
    <row r="633" s="19" customFormat="1" ht="15.75" customHeight="1"/>
    <row r="634" s="19" customFormat="1" ht="15.75" customHeight="1"/>
    <row r="635" s="19" customFormat="1" ht="15.75" customHeight="1"/>
    <row r="636" s="19" customFormat="1" ht="15.75" customHeight="1"/>
    <row r="637" s="19" customFormat="1" ht="15.75" customHeight="1"/>
    <row r="638" s="19" customFormat="1" ht="15.75" customHeight="1"/>
    <row r="639" s="19" customFormat="1" ht="15.75" customHeight="1"/>
    <row r="640" s="19" customFormat="1" ht="15.75" customHeight="1"/>
    <row r="641" s="19" customFormat="1" ht="15.75" customHeight="1"/>
    <row r="642" s="19" customFormat="1" ht="15.75" customHeight="1"/>
    <row r="643" s="19" customFormat="1" ht="15.75" customHeight="1"/>
    <row r="644" s="19" customFormat="1" ht="15.75" customHeight="1"/>
    <row r="645" s="19" customFormat="1" ht="15.75" customHeight="1"/>
    <row r="646" s="19" customFormat="1" ht="15.75" customHeight="1"/>
    <row r="647" s="19" customFormat="1" ht="15.75" customHeight="1"/>
    <row r="648" s="19" customFormat="1" ht="15.75" customHeight="1"/>
    <row r="649" s="19" customFormat="1" ht="15.75" customHeight="1"/>
    <row r="650" s="19" customFormat="1" ht="15.75" customHeight="1"/>
    <row r="651" s="19" customFormat="1" ht="15.75" customHeight="1"/>
    <row r="652" s="19" customFormat="1" ht="15.75" customHeight="1"/>
    <row r="653" s="19" customFormat="1" ht="15.75" customHeight="1"/>
    <row r="654" s="19" customFormat="1" ht="15.75" customHeight="1"/>
    <row r="655" s="19" customFormat="1" ht="15.75" customHeight="1"/>
    <row r="656" s="19" customFormat="1" ht="15.75" customHeight="1"/>
    <row r="657" s="19" customFormat="1" ht="15.75" customHeight="1"/>
    <row r="658" s="19" customFormat="1" ht="15.75" customHeight="1"/>
    <row r="659" s="19" customFormat="1" ht="15.75" customHeight="1"/>
    <row r="660" s="19" customFormat="1" ht="15.75" customHeight="1"/>
    <row r="661" s="19" customFormat="1" ht="15.75" customHeight="1"/>
    <row r="662" s="19" customFormat="1" ht="15.75" customHeight="1"/>
    <row r="663" s="19" customFormat="1" ht="15.75" customHeight="1"/>
    <row r="664" s="19" customFormat="1" ht="15.75" customHeight="1"/>
    <row r="665" s="19" customFormat="1" ht="15.75" customHeight="1"/>
    <row r="666" s="19" customFormat="1" ht="15.75" customHeight="1"/>
    <row r="667" s="19" customFormat="1" ht="15.75" customHeight="1"/>
    <row r="668" s="19" customFormat="1" ht="15.75" customHeight="1"/>
    <row r="669" s="19" customFormat="1" ht="15.75" customHeight="1"/>
    <row r="670" s="19" customFormat="1" ht="15.75" customHeight="1"/>
    <row r="671" s="19" customFormat="1" ht="15.75" customHeight="1"/>
    <row r="672" s="19" customFormat="1" ht="15.75" customHeight="1"/>
    <row r="673" s="19" customFormat="1" ht="15.75" customHeight="1"/>
    <row r="674" s="19" customFormat="1" ht="15.75" customHeight="1"/>
    <row r="675" s="19" customFormat="1" ht="15.75" customHeight="1"/>
    <row r="676" s="19" customFormat="1" ht="15.75" customHeight="1"/>
    <row r="677" s="19" customFormat="1" ht="15.75" customHeight="1"/>
    <row r="678" s="19" customFormat="1" ht="15.75" customHeight="1"/>
    <row r="679" s="19" customFormat="1" ht="15.75" customHeight="1"/>
    <row r="680" s="19" customFormat="1" ht="15.75" customHeight="1"/>
    <row r="681" s="19" customFormat="1" ht="15.75" customHeight="1"/>
    <row r="682" s="19" customFormat="1" ht="15.75" customHeight="1"/>
    <row r="683" s="19" customFormat="1" ht="15.75" customHeight="1"/>
    <row r="684" s="19" customFormat="1" ht="15.75" customHeight="1"/>
    <row r="685" s="19" customFormat="1" ht="15.75" customHeight="1"/>
    <row r="686" s="19" customFormat="1" ht="15.75" customHeight="1"/>
    <row r="687" s="19" customFormat="1" ht="15.75" customHeight="1"/>
    <row r="688" s="19" customFormat="1" ht="15.75" customHeight="1"/>
    <row r="689" s="19" customFormat="1" ht="15.75" customHeight="1"/>
    <row r="690" s="19" customFormat="1" ht="15.75" customHeight="1"/>
    <row r="691" s="19" customFormat="1" ht="15.75" customHeight="1"/>
    <row r="692" s="19" customFormat="1" ht="15.75" customHeight="1"/>
    <row r="693" s="19" customFormat="1" ht="15.75" customHeight="1"/>
    <row r="694" s="19" customFormat="1" ht="15.75" customHeight="1"/>
    <row r="695" s="19" customFormat="1" ht="15.75" customHeight="1"/>
    <row r="696" s="19" customFormat="1" ht="15.75" customHeight="1"/>
    <row r="697" s="19" customFormat="1" ht="15.75" customHeight="1"/>
    <row r="698" s="19" customFormat="1" ht="15.75" customHeight="1"/>
    <row r="699" s="19" customFormat="1" ht="15.75" customHeight="1"/>
    <row r="700" s="19" customFormat="1" ht="15.75" customHeight="1"/>
    <row r="701" s="19" customFormat="1" ht="15.75" customHeight="1"/>
    <row r="702" s="19" customFormat="1" ht="15.75" customHeight="1"/>
    <row r="703" s="19" customFormat="1" ht="15.75" customHeight="1"/>
    <row r="704" s="19" customFormat="1" ht="15.75" customHeight="1"/>
    <row r="705" s="19" customFormat="1" ht="15.75" customHeight="1"/>
    <row r="706" s="19" customFormat="1" ht="15.75" customHeight="1"/>
    <row r="707" s="19" customFormat="1" ht="15.75" customHeight="1"/>
    <row r="708" s="19" customFormat="1" ht="15.75" customHeight="1"/>
    <row r="709" s="19" customFormat="1" ht="15.75" customHeight="1"/>
    <row r="710" s="19" customFormat="1" ht="15.75" customHeight="1"/>
    <row r="711" s="19" customFormat="1" ht="15.75" customHeight="1"/>
    <row r="712" s="19" customFormat="1" ht="15.75" customHeight="1"/>
    <row r="713" s="19" customFormat="1" ht="15.75" customHeight="1"/>
    <row r="714" s="19" customFormat="1" ht="15.75" customHeight="1"/>
    <row r="715" s="19" customFormat="1" ht="15.75" customHeight="1"/>
    <row r="716" s="19" customFormat="1" ht="15.75" customHeight="1"/>
    <row r="717" s="19" customFormat="1" ht="15.75" customHeight="1"/>
    <row r="718" s="19" customFormat="1" ht="15.75" customHeight="1"/>
    <row r="719" s="19" customFormat="1" ht="15.75" customHeight="1"/>
    <row r="720" s="19" customFormat="1" ht="15.75" customHeight="1"/>
    <row r="721" s="19" customFormat="1" ht="15.75" customHeight="1"/>
    <row r="722" s="19" customFormat="1" ht="15.75" customHeight="1"/>
    <row r="723" s="19" customFormat="1" ht="15.75" customHeight="1"/>
    <row r="724" s="19" customFormat="1" ht="15.75" customHeight="1"/>
    <row r="725" s="19" customFormat="1" ht="15.75" customHeight="1"/>
    <row r="726" s="19" customFormat="1" ht="15.75" customHeight="1"/>
    <row r="727" s="19" customFormat="1" ht="15.75" customHeight="1"/>
    <row r="728" s="19" customFormat="1" ht="15.75" customHeight="1"/>
    <row r="729" s="19" customFormat="1" ht="15.75" customHeight="1"/>
    <row r="730" s="19" customFormat="1" ht="15.75" customHeight="1"/>
    <row r="731" s="19" customFormat="1" ht="15.75" customHeight="1"/>
    <row r="732" s="19" customFormat="1" ht="15.75" customHeight="1"/>
    <row r="733" s="19" customFormat="1" ht="15.75" customHeight="1"/>
    <row r="734" s="19" customFormat="1" ht="15.75" customHeight="1"/>
    <row r="735" s="19" customFormat="1" ht="15.75" customHeight="1"/>
    <row r="736" s="19" customFormat="1" ht="15.75" customHeight="1"/>
    <row r="737" s="19" customFormat="1" ht="15.75" customHeight="1"/>
    <row r="738" s="19" customFormat="1" ht="15.75" customHeight="1"/>
    <row r="739" s="19" customFormat="1" ht="15.75" customHeight="1"/>
    <row r="740" s="19" customFormat="1" ht="15.75" customHeight="1"/>
    <row r="741" s="19" customFormat="1" ht="15.75" customHeight="1"/>
    <row r="742" s="19" customFormat="1" ht="15.75" customHeight="1"/>
    <row r="743" s="19" customFormat="1" ht="15.75" customHeight="1"/>
    <row r="744" s="19" customFormat="1" ht="15.75" customHeight="1"/>
    <row r="745" s="19" customFormat="1" ht="15.75" customHeight="1"/>
    <row r="746" s="19" customFormat="1" ht="15.75" customHeight="1"/>
    <row r="747" s="19" customFormat="1" ht="15.75" customHeight="1"/>
    <row r="748" s="19" customFormat="1" ht="15.75" customHeight="1"/>
    <row r="749" s="19" customFormat="1" ht="15.75" customHeight="1"/>
    <row r="750" s="19" customFormat="1" ht="15.75" customHeight="1"/>
    <row r="751" s="19" customFormat="1" ht="15.75" customHeight="1"/>
    <row r="752" s="19" customFormat="1" ht="15.75" customHeight="1"/>
    <row r="753" s="19" customFormat="1" ht="15.75" customHeight="1"/>
    <row r="754" s="19" customFormat="1" ht="15.75" customHeight="1"/>
    <row r="755" s="19" customFormat="1" ht="15.75" customHeight="1"/>
    <row r="756" s="19" customFormat="1" ht="15.75" customHeight="1"/>
    <row r="757" s="19" customFormat="1" ht="15.75" customHeight="1"/>
    <row r="758" s="19" customFormat="1" ht="15.75" customHeight="1"/>
    <row r="759" s="19" customFormat="1" ht="15.75" customHeight="1"/>
    <row r="760" s="19" customFormat="1" ht="15.75" customHeight="1"/>
    <row r="761" s="19" customFormat="1" ht="15.75" customHeight="1"/>
    <row r="762" s="19" customFormat="1" ht="15.75" customHeight="1"/>
    <row r="763" s="19" customFormat="1" ht="15.75" customHeight="1"/>
    <row r="764" s="19" customFormat="1" ht="15.75" customHeight="1"/>
    <row r="765" s="19" customFormat="1" ht="15.75" customHeight="1"/>
    <row r="766" s="19" customFormat="1" ht="15.75" customHeight="1"/>
    <row r="767" s="19" customFormat="1" ht="15.75" customHeight="1"/>
    <row r="768" s="19" customFormat="1" ht="15.75" customHeight="1"/>
    <row r="769" s="19" customFormat="1" ht="15.75" customHeight="1"/>
    <row r="770" s="19" customFormat="1" ht="15.75" customHeight="1"/>
    <row r="771" s="19" customFormat="1" ht="15.75" customHeight="1"/>
    <row r="772" s="19" customFormat="1" ht="15.75" customHeight="1"/>
    <row r="773" s="19" customFormat="1" ht="15.75" customHeight="1"/>
    <row r="774" s="19" customFormat="1" ht="15.75" customHeight="1"/>
    <row r="775" s="19" customFormat="1" ht="15.75" customHeight="1"/>
    <row r="776" s="19" customFormat="1" ht="15.75" customHeight="1"/>
    <row r="777" s="19" customFormat="1" ht="15.75" customHeight="1"/>
    <row r="778" s="19" customFormat="1" ht="15.75" customHeight="1"/>
    <row r="779" s="19" customFormat="1" ht="15.75" customHeight="1"/>
    <row r="780" s="19" customFormat="1" ht="15.75" customHeight="1"/>
    <row r="781" s="19" customFormat="1" ht="15.75" customHeight="1"/>
    <row r="782" s="19" customFormat="1" ht="15.75" customHeight="1"/>
    <row r="783" s="19" customFormat="1" ht="15.75" customHeight="1"/>
    <row r="784" s="19" customFormat="1" ht="15.75" customHeight="1"/>
    <row r="785" s="19" customFormat="1" ht="15.75" customHeight="1"/>
    <row r="786" s="19" customFormat="1" ht="15.75" customHeight="1"/>
    <row r="787" s="19" customFormat="1" ht="15.75" customHeight="1"/>
    <row r="788" s="19" customFormat="1" ht="15.75" customHeight="1"/>
    <row r="789" s="19" customFormat="1" ht="15.75" customHeight="1"/>
    <row r="790" s="19" customFormat="1" ht="15.75" customHeight="1"/>
    <row r="791" s="19" customFormat="1" ht="15.75" customHeight="1"/>
    <row r="792" s="19" customFormat="1" ht="15.75" customHeight="1"/>
    <row r="793" s="19" customFormat="1" ht="15.75" customHeight="1"/>
    <row r="794" s="19" customFormat="1" ht="15.75" customHeight="1"/>
    <row r="795" s="19" customFormat="1" ht="15.75" customHeight="1"/>
    <row r="796" s="19" customFormat="1" ht="15.75" customHeight="1"/>
    <row r="797" s="19" customFormat="1" ht="15.75" customHeight="1"/>
    <row r="798" s="19" customFormat="1" ht="15.75" customHeight="1"/>
    <row r="799" s="19" customFormat="1" ht="15.75" customHeight="1"/>
    <row r="800" s="19" customFormat="1" ht="15.75" customHeight="1"/>
    <row r="801" s="19" customFormat="1" ht="15.75" customHeight="1"/>
    <row r="802" s="19" customFormat="1" ht="15.75" customHeight="1"/>
    <row r="803" s="19" customFormat="1" ht="15.75" customHeight="1"/>
    <row r="804" s="19" customFormat="1" ht="15.75" customHeight="1"/>
    <row r="805" s="19" customFormat="1" ht="15.75" customHeight="1"/>
    <row r="806" s="19" customFormat="1" ht="15.75" customHeight="1"/>
    <row r="807" s="19" customFormat="1" ht="15.75" customHeight="1"/>
    <row r="808" s="19" customFormat="1" ht="15.75" customHeight="1"/>
    <row r="809" s="19" customFormat="1" ht="15.75" customHeight="1"/>
    <row r="810" s="19" customFormat="1" ht="15.75" customHeight="1"/>
    <row r="811" s="19" customFormat="1" ht="15.75" customHeight="1"/>
    <row r="812" s="19" customFormat="1" ht="15.75" customHeight="1"/>
    <row r="813" s="19" customFormat="1" ht="15.75" customHeight="1"/>
    <row r="814" s="19" customFormat="1" ht="15.75" customHeight="1"/>
    <row r="815" s="19" customFormat="1" ht="15.75" customHeight="1"/>
    <row r="816" s="19" customFormat="1" ht="15.75" customHeight="1"/>
    <row r="817" s="19" customFormat="1" ht="15.75" customHeight="1"/>
    <row r="818" s="19" customFormat="1" ht="15.75" customHeight="1"/>
    <row r="819" s="19" customFormat="1" ht="15.75" customHeight="1"/>
    <row r="820" s="19" customFormat="1" ht="15.75" customHeight="1"/>
    <row r="821" s="19" customFormat="1" ht="15.75" customHeight="1"/>
    <row r="822" s="19" customFormat="1" ht="15.75" customHeight="1"/>
    <row r="823" s="19" customFormat="1" ht="15.75" customHeight="1"/>
    <row r="824" s="19" customFormat="1" ht="15.75" customHeight="1"/>
    <row r="825" s="19" customFormat="1" ht="15.75" customHeight="1"/>
    <row r="826" s="19" customFormat="1" ht="15.75" customHeight="1"/>
    <row r="827" s="19" customFormat="1" ht="15.75" customHeight="1"/>
    <row r="828" s="19" customFormat="1" ht="15.75" customHeight="1"/>
    <row r="829" s="19" customFormat="1" ht="15.75" customHeight="1"/>
    <row r="830" s="19" customFormat="1" ht="15.75" customHeight="1"/>
    <row r="831" s="19" customFormat="1" ht="15.75" customHeight="1"/>
    <row r="832" s="19" customFormat="1" ht="15.75" customHeight="1"/>
    <row r="833" s="19" customFormat="1" ht="15.75" customHeight="1"/>
    <row r="834" s="19" customFormat="1" ht="15.75" customHeight="1"/>
    <row r="835" s="19" customFormat="1" ht="15.75" customHeight="1"/>
    <row r="836" s="19" customFormat="1" ht="15.75" customHeight="1"/>
    <row r="837" s="19" customFormat="1" ht="15.75" customHeight="1"/>
    <row r="838" s="19" customFormat="1" ht="15.75" customHeight="1"/>
    <row r="839" s="19" customFormat="1" ht="15.75" customHeight="1"/>
    <row r="840" s="19" customFormat="1" ht="15.75" customHeight="1"/>
    <row r="841" s="19" customFormat="1" ht="15.75" customHeight="1"/>
    <row r="842" s="19" customFormat="1" ht="15.75" customHeight="1"/>
    <row r="843" s="19" customFormat="1" ht="15.75" customHeight="1"/>
    <row r="844" s="19" customFormat="1" ht="15.75" customHeight="1"/>
    <row r="845" s="19" customFormat="1" ht="15.75" customHeight="1"/>
    <row r="846" s="19" customFormat="1" ht="15.75" customHeight="1"/>
    <row r="847" s="19" customFormat="1" ht="15.75" customHeight="1"/>
    <row r="848" s="19" customFormat="1" ht="15.75" customHeight="1"/>
    <row r="849" s="19" customFormat="1" ht="15.75" customHeight="1"/>
    <row r="850" s="19" customFormat="1" ht="15.75" customHeight="1"/>
    <row r="851" s="19" customFormat="1" ht="15.75" customHeight="1"/>
    <row r="852" s="19" customFormat="1" ht="15.75" customHeight="1"/>
    <row r="853" s="19" customFormat="1" ht="15.75" customHeight="1"/>
    <row r="854" s="19" customFormat="1" ht="15.75" customHeight="1"/>
    <row r="855" s="19" customFormat="1" ht="15.75" customHeight="1"/>
    <row r="856" s="19" customFormat="1" ht="15.75" customHeight="1"/>
    <row r="857" s="19" customFormat="1" ht="15.75" customHeight="1"/>
    <row r="858" s="19" customFormat="1" ht="15.75" customHeight="1"/>
    <row r="859" s="19" customFormat="1" ht="15.75" customHeight="1"/>
    <row r="860" s="19" customFormat="1" ht="15.75" customHeight="1"/>
    <row r="861" s="19" customFormat="1" ht="15.75" customHeight="1"/>
    <row r="862" s="19" customFormat="1" ht="15.75" customHeight="1"/>
    <row r="863" s="19" customFormat="1" ht="15.75" customHeight="1"/>
    <row r="864" s="19" customFormat="1" ht="15.75" customHeight="1"/>
    <row r="865" s="19" customFormat="1" ht="15.75" customHeight="1"/>
    <row r="866" s="19" customFormat="1" ht="15.75" customHeight="1"/>
    <row r="867" s="19" customFormat="1" ht="15.75" customHeight="1"/>
    <row r="868" s="19" customFormat="1" ht="15.75" customHeight="1"/>
    <row r="869" s="19" customFormat="1" ht="15.75" customHeight="1"/>
    <row r="870" s="19" customFormat="1" ht="15.75" customHeight="1"/>
    <row r="871" s="19" customFormat="1" ht="15.75" customHeight="1"/>
    <row r="872" s="19" customFormat="1" ht="15.75" customHeight="1"/>
    <row r="873" s="19" customFormat="1" ht="15.75" customHeight="1"/>
    <row r="874" s="19" customFormat="1" ht="15.75" customHeight="1"/>
    <row r="875" s="19" customFormat="1" ht="15.75" customHeight="1"/>
    <row r="876" s="19" customFormat="1" ht="15.75" customHeight="1"/>
    <row r="877" s="19" customFormat="1" ht="15.75" customHeight="1"/>
    <row r="878" s="19" customFormat="1" ht="15.75" customHeight="1"/>
    <row r="879" s="19" customFormat="1" ht="15.75" customHeight="1"/>
    <row r="880" s="19" customFormat="1" ht="15.75" customHeight="1"/>
    <row r="881" s="19" customFormat="1" ht="15.75" customHeight="1"/>
    <row r="882" s="19" customFormat="1" ht="15.75" customHeight="1"/>
    <row r="883" s="19" customFormat="1" ht="15.75" customHeight="1"/>
    <row r="884" s="19" customFormat="1" ht="15.75" customHeight="1"/>
    <row r="885" s="19" customFormat="1" ht="15.75" customHeight="1"/>
    <row r="886" s="19" customFormat="1" ht="15.75" customHeight="1"/>
    <row r="887" s="19" customFormat="1" ht="15.75" customHeight="1"/>
    <row r="888" s="19" customFormat="1" ht="15.75" customHeight="1"/>
    <row r="889" s="19" customFormat="1" ht="15.75" customHeight="1"/>
    <row r="890" s="19" customFormat="1" ht="15.75" customHeight="1"/>
    <row r="891" s="19" customFormat="1" ht="15.75" customHeight="1"/>
    <row r="892" s="19" customFormat="1" ht="15.75" customHeight="1"/>
    <row r="893" s="19" customFormat="1" ht="15.75" customHeight="1"/>
    <row r="894" s="19" customFormat="1" ht="15.75" customHeight="1"/>
    <row r="895" s="19" customFormat="1" ht="15.75" customHeight="1"/>
    <row r="896" s="19" customFormat="1" ht="15.75" customHeight="1"/>
    <row r="897" s="19" customFormat="1" ht="15.75" customHeight="1"/>
    <row r="898" s="19" customFormat="1" ht="15.75" customHeight="1"/>
    <row r="899" s="19" customFormat="1" ht="15.75" customHeight="1"/>
    <row r="900" s="19" customFormat="1" ht="15.75" customHeight="1"/>
    <row r="901" s="19" customFormat="1" ht="15.75" customHeight="1"/>
    <row r="902" s="19" customFormat="1" ht="15.75" customHeight="1"/>
    <row r="903" s="19" customFormat="1" ht="15.75" customHeight="1"/>
    <row r="904" s="19" customFormat="1" ht="15.75" customHeight="1"/>
    <row r="905" s="19" customFormat="1" ht="15.75" customHeight="1"/>
    <row r="906" s="19" customFormat="1" ht="15.75" customHeight="1"/>
    <row r="907" s="19" customFormat="1" ht="15.75" customHeight="1"/>
    <row r="908" s="19" customFormat="1" ht="15.75" customHeight="1"/>
    <row r="909" s="19" customFormat="1" ht="15.75" customHeight="1"/>
    <row r="910" s="19" customFormat="1" ht="15.75" customHeight="1"/>
    <row r="911" s="19" customFormat="1" ht="15.75" customHeight="1"/>
    <row r="912" s="19" customFormat="1" ht="15.75" customHeight="1"/>
    <row r="913" s="19" customFormat="1" ht="15.75" customHeight="1"/>
    <row r="914" s="19" customFormat="1" ht="15.75" customHeight="1"/>
    <row r="915" s="19" customFormat="1" ht="15.75" customHeight="1"/>
    <row r="916" s="19" customFormat="1" ht="15.75" customHeight="1"/>
    <row r="917" s="19" customFormat="1" ht="15.75" customHeight="1"/>
    <row r="918" s="19" customFormat="1" ht="15.75" customHeight="1"/>
    <row r="919" s="19" customFormat="1" ht="15.75" customHeight="1"/>
    <row r="920" s="19" customFormat="1" ht="15.75" customHeight="1"/>
    <row r="921" s="19" customFormat="1" ht="15.75" customHeight="1"/>
    <row r="922" s="19" customFormat="1" ht="15.75" customHeight="1"/>
    <row r="923" s="19" customFormat="1" ht="15.75" customHeight="1"/>
    <row r="924" s="19" customFormat="1" ht="15.75" customHeight="1"/>
    <row r="925" s="19" customFormat="1" ht="15.75" customHeight="1"/>
    <row r="926" s="19" customFormat="1" ht="15.75" customHeight="1"/>
    <row r="927" s="19" customFormat="1" ht="15.75" customHeight="1"/>
    <row r="928" s="19" customFormat="1" ht="15.75" customHeight="1"/>
    <row r="929" s="19" customFormat="1" ht="15.75" customHeight="1"/>
    <row r="930" s="19" customFormat="1" ht="15.75" customHeight="1"/>
    <row r="931" s="19" customFormat="1" ht="15.75" customHeight="1"/>
    <row r="932" s="19" customFormat="1" ht="15.75" customHeight="1"/>
    <row r="933" s="19" customFormat="1" ht="15.75" customHeight="1"/>
    <row r="934" s="19" customFormat="1" ht="15.75" customHeight="1"/>
    <row r="935" s="19" customFormat="1" ht="15.75" customHeight="1"/>
    <row r="936" s="19" customFormat="1" ht="15.75" customHeight="1"/>
    <row r="937" s="19" customFormat="1" ht="15.75" customHeight="1"/>
    <row r="938" s="19" customFormat="1" ht="15.75" customHeight="1"/>
    <row r="939" s="19" customFormat="1" ht="15.75" customHeight="1"/>
    <row r="940" s="19" customFormat="1" ht="15.75" customHeight="1"/>
    <row r="941" s="19" customFormat="1" ht="15.75" customHeight="1"/>
    <row r="942" s="19" customFormat="1" ht="15.75" customHeight="1"/>
    <row r="943" s="19" customFormat="1" ht="15.75" customHeight="1"/>
    <row r="944" s="19" customFormat="1" ht="15.75" customHeight="1"/>
    <row r="945" s="19" customFormat="1" ht="15.75" customHeight="1"/>
    <row r="946" s="19" customFormat="1" ht="15.75" customHeight="1"/>
    <row r="947" s="19" customFormat="1" ht="15.75" customHeight="1"/>
    <row r="948" s="19" customFormat="1" ht="15.75" customHeight="1"/>
    <row r="949" s="19" customFormat="1" ht="15.75" customHeight="1"/>
    <row r="950" s="19" customFormat="1" ht="15.75" customHeight="1"/>
    <row r="951" s="19" customFormat="1" ht="15.75" customHeight="1"/>
    <row r="952" s="19" customFormat="1" ht="15.75" customHeight="1"/>
    <row r="953" s="19" customFormat="1" ht="15.75" customHeight="1"/>
    <row r="954" s="19" customFormat="1" ht="15.75" customHeight="1"/>
    <row r="955" s="19" customFormat="1" ht="15.75" customHeight="1"/>
    <row r="956" s="19" customFormat="1" ht="15.75" customHeight="1"/>
    <row r="957" s="19" customFormat="1" ht="15.75" customHeight="1"/>
    <row r="958" s="19" customFormat="1" ht="15.75" customHeight="1"/>
    <row r="959" s="19" customFormat="1" ht="15.75" customHeight="1"/>
    <row r="960" s="19" customFormat="1" ht="15.75" customHeight="1"/>
    <row r="961" s="19" customFormat="1" ht="15.75" customHeight="1"/>
    <row r="962" s="19" customFormat="1" ht="15.75" customHeight="1"/>
    <row r="963" s="19" customFormat="1" ht="15.75" customHeight="1"/>
    <row r="964" s="19" customFormat="1" ht="15.75" customHeight="1"/>
    <row r="965" s="19" customFormat="1" ht="15.75" customHeight="1"/>
    <row r="966" s="19" customFormat="1" ht="15.75" customHeight="1"/>
    <row r="967" s="19" customFormat="1" ht="15.75" customHeight="1"/>
    <row r="968" s="19" customFormat="1" ht="15.75" customHeight="1"/>
    <row r="969" s="19" customFormat="1" ht="15.75" customHeight="1"/>
    <row r="970" s="19" customFormat="1" ht="15.75" customHeight="1"/>
    <row r="971" s="19" customFormat="1" ht="15.75" customHeight="1"/>
    <row r="972" s="19" customFormat="1" ht="15.75" customHeight="1"/>
    <row r="973" s="19" customFormat="1" ht="15.75" customHeight="1"/>
    <row r="974" s="19" customFormat="1" ht="15.75" customHeight="1"/>
    <row r="975" s="19" customFormat="1" ht="15.75" customHeight="1"/>
    <row r="976" s="19" customFormat="1" ht="15.75" customHeight="1"/>
    <row r="977" s="19" customFormat="1" ht="15.75" customHeight="1"/>
    <row r="978" s="19" customFormat="1" ht="15.75" customHeight="1"/>
    <row r="979" s="19" customFormat="1" ht="15.75" customHeight="1"/>
    <row r="980" s="19" customFormat="1" ht="15.75" customHeight="1"/>
    <row r="981" s="19" customFormat="1" ht="15.75" customHeight="1"/>
    <row r="982" s="19" customFormat="1" ht="15.75" customHeight="1"/>
    <row r="983" s="19" customFormat="1" ht="15.75" customHeight="1"/>
    <row r="984" s="19" customFormat="1" ht="15.75" customHeight="1"/>
    <row r="985" s="19" customFormat="1" ht="15.75" customHeight="1"/>
    <row r="986" s="19" customFormat="1" ht="15.75" customHeight="1"/>
    <row r="987" s="19" customFormat="1" ht="15.75" customHeight="1"/>
    <row r="988" s="19" customFormat="1" ht="15.75" customHeight="1"/>
    <row r="989" s="19" customFormat="1" ht="15.75" customHeight="1"/>
    <row r="990" s="19" customFormat="1" ht="15.75" customHeight="1"/>
    <row r="991" s="19" customFormat="1" ht="15.75" customHeight="1"/>
    <row r="992" s="19" customFormat="1" ht="15.75" customHeight="1"/>
    <row r="993" s="19" customFormat="1" ht="15.75" customHeight="1"/>
    <row r="994" s="19" customFormat="1" ht="15.75" customHeight="1"/>
    <row r="995" s="19" customFormat="1" ht="15.75" customHeight="1"/>
    <row r="996" s="19" customFormat="1" ht="15.75" customHeight="1"/>
    <row r="997" s="19" customFormat="1" ht="15.75" customHeight="1"/>
    <row r="998" s="19" customFormat="1" ht="15.75" customHeight="1"/>
    <row r="999" s="19" customFormat="1" ht="15.75" customHeight="1"/>
    <row r="1000" s="19" customFormat="1" ht="15.75" customHeight="1"/>
  </sheetData>
  <mergeCells count="6">
    <mergeCell ref="C4:E4"/>
    <mergeCell ref="A8:A10"/>
    <mergeCell ref="B8:B10"/>
    <mergeCell ref="C8:C10"/>
    <mergeCell ref="D8:D10"/>
    <mergeCell ref="E8:E10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F992"/>
  <sheetViews>
    <sheetView showGridLines="0" workbookViewId="0">
      <selection activeCell="D5" sqref="D5"/>
    </sheetView>
  </sheetViews>
  <sheetFormatPr defaultColWidth="14.42578125" defaultRowHeight="15" customHeight="1"/>
  <cols>
    <col min="1" max="1" width="21.42578125" customWidth="1"/>
    <col min="2" max="2" width="15.140625" customWidth="1"/>
    <col min="3" max="3" width="62.7109375" customWidth="1"/>
    <col min="4" max="4" width="16.85546875" customWidth="1"/>
    <col min="5" max="6" width="13.42578125" customWidth="1"/>
    <col min="7" max="26" width="8.7109375" customWidth="1"/>
  </cols>
  <sheetData>
    <row r="1" spans="1:6" ht="43.15">
      <c r="A1" s="15" t="s">
        <v>86</v>
      </c>
      <c r="B1" s="15" t="s">
        <v>87</v>
      </c>
      <c r="C1" s="15" t="s">
        <v>88</v>
      </c>
      <c r="D1" s="15" t="s">
        <v>89</v>
      </c>
      <c r="E1" s="15" t="s">
        <v>90</v>
      </c>
      <c r="F1" s="15" t="s">
        <v>91</v>
      </c>
    </row>
    <row r="2" spans="1:6" s="17" customFormat="1" ht="72">
      <c r="A2" s="16" t="s">
        <v>81</v>
      </c>
      <c r="B2" s="16" t="s">
        <v>92</v>
      </c>
      <c r="C2" s="16" t="s">
        <v>93</v>
      </c>
      <c r="D2" s="16" t="s">
        <v>94</v>
      </c>
      <c r="E2" s="16" t="s">
        <v>95</v>
      </c>
      <c r="F2" s="16" t="s">
        <v>96</v>
      </c>
    </row>
    <row r="3" spans="1:6" s="17" customFormat="1" ht="28.9">
      <c r="A3" s="16" t="s">
        <v>97</v>
      </c>
      <c r="B3" s="16" t="s">
        <v>92</v>
      </c>
      <c r="C3" s="16" t="s">
        <v>98</v>
      </c>
      <c r="D3" s="16" t="s">
        <v>94</v>
      </c>
      <c r="E3" s="16" t="s">
        <v>95</v>
      </c>
      <c r="F3" s="16" t="s">
        <v>99</v>
      </c>
    </row>
    <row r="4" spans="1:6" s="17" customFormat="1" ht="57.6">
      <c r="A4" s="16" t="s">
        <v>79</v>
      </c>
      <c r="B4" s="16" t="s">
        <v>92</v>
      </c>
      <c r="C4" s="16" t="s">
        <v>100</v>
      </c>
      <c r="D4" s="16" t="s">
        <v>94</v>
      </c>
      <c r="E4" s="16" t="s">
        <v>95</v>
      </c>
      <c r="F4" s="16" t="s">
        <v>99</v>
      </c>
    </row>
    <row r="5" spans="1:6" s="17" customFormat="1" ht="57.6">
      <c r="A5" s="16" t="s">
        <v>101</v>
      </c>
      <c r="B5" s="16" t="s">
        <v>102</v>
      </c>
      <c r="C5" s="16" t="s">
        <v>103</v>
      </c>
      <c r="D5" s="16" t="s">
        <v>94</v>
      </c>
      <c r="E5" s="16" t="s">
        <v>95</v>
      </c>
      <c r="F5" s="16" t="s">
        <v>96</v>
      </c>
    </row>
    <row r="6" spans="1:6" s="17" customFormat="1" ht="72">
      <c r="A6" s="16" t="s">
        <v>101</v>
      </c>
      <c r="B6" s="16" t="s">
        <v>92</v>
      </c>
      <c r="C6" s="16" t="s">
        <v>104</v>
      </c>
      <c r="D6" s="16" t="s">
        <v>94</v>
      </c>
      <c r="E6" s="16" t="s">
        <v>95</v>
      </c>
      <c r="F6" s="16" t="s">
        <v>99</v>
      </c>
    </row>
    <row r="7" spans="1:6" s="17" customFormat="1" ht="43.15">
      <c r="A7" s="16" t="s">
        <v>105</v>
      </c>
      <c r="B7" s="16" t="s">
        <v>92</v>
      </c>
      <c r="C7" s="16" t="s">
        <v>106</v>
      </c>
      <c r="D7" s="16" t="s">
        <v>94</v>
      </c>
      <c r="E7" s="16" t="s">
        <v>95</v>
      </c>
      <c r="F7" s="16" t="s">
        <v>99</v>
      </c>
    </row>
    <row r="8" spans="1:6" s="17" customFormat="1" ht="14.45">
      <c r="A8" s="16"/>
      <c r="B8" s="16"/>
      <c r="C8" s="16"/>
      <c r="D8" s="16"/>
      <c r="E8" s="16"/>
      <c r="F8" s="16"/>
    </row>
    <row r="10" spans="1:6" ht="14.45">
      <c r="A10" s="13" t="s">
        <v>49</v>
      </c>
    </row>
    <row r="11" spans="1:6" ht="14.45">
      <c r="A11" s="14" t="s">
        <v>107</v>
      </c>
    </row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4055F950154B4BB8632548C1CBB0E6" ma:contentTypeVersion="16" ma:contentTypeDescription="Create a new document." ma:contentTypeScope="" ma:versionID="afe6fb020ca010385eee4ed7effa1aad">
  <xsd:schema xmlns:xsd="http://www.w3.org/2001/XMLSchema" xmlns:xs="http://www.w3.org/2001/XMLSchema" xmlns:p="http://schemas.microsoft.com/office/2006/metadata/properties" xmlns:ns2="1b9c1699-ebf9-4367-a19b-a2ba34f35519" xmlns:ns3="552df572-a05a-4d7a-b405-ea907adc8ef1" targetNamespace="http://schemas.microsoft.com/office/2006/metadata/properties" ma:root="true" ma:fieldsID="3b8a228cc97967bcff58bc264716cc2b" ns2:_="" ns3:_="">
    <xsd:import namespace="1b9c1699-ebf9-4367-a19b-a2ba34f35519"/>
    <xsd:import namespace="552df572-a05a-4d7a-b405-ea907adc8e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9c1699-ebf9-4367-a19b-a2ba34f35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7d36a7d-b0e2-49af-8978-949f681152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df572-a05a-4d7a-b405-ea907adc8ef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219a893-e60a-465a-8ba3-77ab026a152f}" ma:internalName="TaxCatchAll" ma:showField="CatchAllData" ma:web="552df572-a05a-4d7a-b405-ea907adc8e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2df572-a05a-4d7a-b405-ea907adc8ef1" xsi:nil="true"/>
    <lcf76f155ced4ddcb4097134ff3c332f xmlns="1b9c1699-ebf9-4367-a19b-a2ba34f3551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F1C820-6F26-4A9D-8244-5979D7C603D3}"/>
</file>

<file path=customXml/itemProps2.xml><?xml version="1.0" encoding="utf-8"?>
<ds:datastoreItem xmlns:ds="http://schemas.openxmlformats.org/officeDocument/2006/customXml" ds:itemID="{FE4747A1-B7D7-4440-858B-0F8F2DD3EBA5}"/>
</file>

<file path=customXml/itemProps3.xml><?xml version="1.0" encoding="utf-8"?>
<ds:datastoreItem xmlns:ds="http://schemas.openxmlformats.org/officeDocument/2006/customXml" ds:itemID="{3E59D661-6BAE-4E10-954F-AEA02BAE7E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Mark Cooper</cp:lastModifiedBy>
  <cp:revision/>
  <dcterms:created xsi:type="dcterms:W3CDTF">2025-04-11T06:05:33Z</dcterms:created>
  <dcterms:modified xsi:type="dcterms:W3CDTF">2025-06-18T05:24:08Z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0x0101003E4055F950154B4BB8632548C1CBB0E6</vt:lpwstr>
  </property>
  <property fmtid="{D5CDD505-2E9C-101B-9397-08002B2CF9AE}" pid="3" name="MediaServiceImageTags">
    <vt:lpwstr/>
  </property>
</Properties>
</file>