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1" documentId="13_ncr:1_{717BB2C3-5166-9E4F-BE02-5DD0D787571A}" xr6:coauthVersionLast="47" xr6:coauthVersionMax="47" xr10:uidLastSave="{8791F667-F50D-4D32-A264-2F4C2DA97A1C}"/>
  <bookViews>
    <workbookView xWindow="0" yWindow="760" windowWidth="34560" windowHeight="21580" firstSheet="2" activeTab="1" xr2:uid="{00000000-000D-0000-FFFF-FFFF00000000}"/>
  </bookViews>
  <sheets>
    <sheet name="1.Platform Costs" sheetId="1" r:id="rId1"/>
    <sheet name="2.Implementation Costs" sheetId="2" r:id="rId2"/>
    <sheet name="3.Rate C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J5oSJ4NGm4vLwbLsIW2DNG1U593F9Eku6FicLwKdnU="/>
    </ext>
  </extLst>
</workbook>
</file>

<file path=xl/calcChain.xml><?xml version="1.0" encoding="utf-8"?>
<calcChain xmlns="http://schemas.openxmlformats.org/spreadsheetml/2006/main">
  <c r="E12" i="2" l="1"/>
  <c r="G10" i="1"/>
  <c r="J9" i="1"/>
  <c r="K9" i="1" s="1"/>
  <c r="L9" i="1" s="1"/>
  <c r="I9" i="1"/>
  <c r="H9" i="1"/>
  <c r="G9" i="1"/>
  <c r="H8" i="1"/>
  <c r="G7" i="1"/>
  <c r="H7" i="1" s="1"/>
  <c r="G6" i="1"/>
  <c r="H6" i="1" s="1"/>
  <c r="I6" i="1" s="1"/>
  <c r="J6" i="1" s="1"/>
  <c r="K6" i="1" s="1"/>
  <c r="G5" i="1"/>
  <c r="H5" i="1" s="1"/>
  <c r="G4" i="1"/>
  <c r="H4" i="1" s="1"/>
  <c r="I4" i="1" s="1"/>
  <c r="J4" i="1" s="1"/>
  <c r="K4" i="1" s="1"/>
  <c r="G3" i="1"/>
  <c r="G11" i="1" s="1"/>
  <c r="I5" i="1" l="1"/>
  <c r="J5" i="1" s="1"/>
  <c r="K5" i="1" s="1"/>
  <c r="I7" i="1"/>
  <c r="J7" i="1" s="1"/>
  <c r="K7" i="1" s="1"/>
  <c r="L10" i="1"/>
  <c r="H3" i="1"/>
  <c r="L4" i="1"/>
  <c r="I8" i="1"/>
  <c r="J8" i="1" s="1"/>
  <c r="K8" i="1" s="1"/>
  <c r="H10" i="1"/>
  <c r="I10" i="1" s="1"/>
  <c r="J10" i="1" s="1"/>
  <c r="K10" i="1" s="1"/>
  <c r="L6" i="1"/>
  <c r="H11" i="1" l="1"/>
  <c r="I3" i="1"/>
  <c r="L7" i="1"/>
  <c r="L8" i="1"/>
  <c r="L5" i="1"/>
  <c r="I11" i="1" l="1"/>
  <c r="J3" i="1"/>
  <c r="J11" i="1" l="1"/>
  <c r="K3" i="1"/>
  <c r="K11" i="1" s="1"/>
  <c r="L3" i="1"/>
  <c r="L11" i="1" l="1"/>
</calcChain>
</file>

<file path=xl/sharedStrings.xml><?xml version="1.0" encoding="utf-8"?>
<sst xmlns="http://schemas.openxmlformats.org/spreadsheetml/2006/main" count="164" uniqueCount="117">
  <si>
    <t>All figures AUD$'000 (thousands) excluding gst</t>
  </si>
  <si>
    <t>Component / Service</t>
  </si>
  <si>
    <t>Description</t>
  </si>
  <si>
    <t>Vendor</t>
  </si>
  <si>
    <t>Pricing Model~</t>
  </si>
  <si>
    <t>Unit Cost^</t>
  </si>
  <si>
    <t>Estimated Units per Year*</t>
  </si>
  <si>
    <t>Year 1</t>
  </si>
  <si>
    <r>
      <rPr>
        <b/>
        <sz val="12"/>
        <color theme="0"/>
        <rFont val="Calibri"/>
      </rPr>
      <t>Year 2</t>
    </r>
    <r>
      <rPr>
        <b/>
        <sz val="8"/>
        <color theme="0"/>
        <rFont val="Calibri"/>
      </rPr>
      <t>#</t>
    </r>
  </si>
  <si>
    <r>
      <rPr>
        <b/>
        <sz val="12"/>
        <color theme="0"/>
        <rFont val="Calibri"/>
      </rPr>
      <t>Year 3</t>
    </r>
    <r>
      <rPr>
        <b/>
        <sz val="8"/>
        <color theme="0"/>
        <rFont val="Calibri"/>
      </rPr>
      <t>#</t>
    </r>
  </si>
  <si>
    <r>
      <rPr>
        <b/>
        <sz val="12"/>
        <color theme="0"/>
        <rFont val="Calibri"/>
      </rPr>
      <t>Year 4</t>
    </r>
    <r>
      <rPr>
        <b/>
        <sz val="8"/>
        <color theme="0"/>
        <rFont val="Calibri"/>
      </rPr>
      <t>#</t>
    </r>
  </si>
  <si>
    <r>
      <rPr>
        <b/>
        <sz val="12"/>
        <color theme="0"/>
        <rFont val="Calibri"/>
      </rPr>
      <t>Year 5</t>
    </r>
    <r>
      <rPr>
        <b/>
        <sz val="8"/>
        <color theme="0"/>
        <rFont val="Calibri"/>
      </rPr>
      <t>#</t>
    </r>
  </si>
  <si>
    <t>Total  
(5 Yrs)</t>
  </si>
  <si>
    <t>Provide comments on discounts factored into pricing</t>
  </si>
  <si>
    <t>Data Platform (Base)</t>
  </si>
  <si>
    <t>BigQuery OnDemand</t>
  </si>
  <si>
    <t>GCP</t>
  </si>
  <si>
    <t>Consumption Based</t>
  </si>
  <si>
    <t>Split into Storage &amp; Queries</t>
  </si>
  <si>
    <t>2TB storage, 10TB queries per month</t>
  </si>
  <si>
    <t>Ability to purchase a slot commitment depending on workload size to reduce overall costs.</t>
  </si>
  <si>
    <t>Component 1 - ELT</t>
  </si>
  <si>
    <t>Dataflow</t>
  </si>
  <si>
    <t>Split into Job hours, Compute Units, and Storage per month</t>
  </si>
  <si>
    <t>60 Compute units, 160 job hours, 10TB storage</t>
  </si>
  <si>
    <t>Component 2 - ELT (APIs)</t>
  </si>
  <si>
    <t>Cloud Functions</t>
  </si>
  <si>
    <t>Split into # requests and request time per invocation</t>
  </si>
  <si>
    <t>1M requests, 20 second invocation</t>
  </si>
  <si>
    <t>Hosting / Cloud Charges</t>
  </si>
  <si>
    <t>Google Cloud Storage</t>
  </si>
  <si>
    <t>GB storage in Melbourne Region</t>
  </si>
  <si>
    <t>Data Transfer / Egress</t>
  </si>
  <si>
    <t>Partner Interconnect</t>
  </si>
  <si>
    <t>Transfer data and number of VLAN connections</t>
  </si>
  <si>
    <t>2TB per month, 2 VLANs for 500Mbps</t>
  </si>
  <si>
    <t>Backup / Disaster Recovery</t>
  </si>
  <si>
    <t>N/A</t>
  </si>
  <si>
    <t>Provided natively from the Cloud Platform. Can be established as full replication if required for additional cost.</t>
  </si>
  <si>
    <t>Support / SLAs</t>
  </si>
  <si>
    <t>Annual Support Costs</t>
  </si>
  <si>
    <t>Fixed / % based on Consumption</t>
  </si>
  <si>
    <t>Enhanced support (Premium available also).</t>
  </si>
  <si>
    <t>Other (Specify)</t>
  </si>
  <si>
    <t>Logging / Monitoring / Ops</t>
  </si>
  <si>
    <t>Log size and retention time</t>
  </si>
  <si>
    <t>12 month log retention</t>
  </si>
  <si>
    <t>Total (Platform Costs)</t>
  </si>
  <si>
    <t>10% discount on first year spend, upto 15% of first year spend in credits for Professional Services.</t>
  </si>
  <si>
    <t>Notes:</t>
  </si>
  <si>
    <t>Data entry field is coloured yellow. Please insert rows as required for additional components or other items.</t>
  </si>
  <si>
    <t># Annual volume growth assumption is 20%</t>
  </si>
  <si>
    <t>* Refer to RFP reference x</t>
  </si>
  <si>
    <t>^ Unit cost is the average over 5 years</t>
  </si>
  <si>
    <t>~ for example per user/core/GB/month</t>
  </si>
  <si>
    <t>All figures are to be in AUD$'000 (rounded to the nearest thousand) and excluding gst</t>
  </si>
  <si>
    <t>Total Fixed Cost Implementation</t>
  </si>
  <si>
    <t>$2,625,500</t>
  </si>
  <si>
    <t>Sprint Duration (e.g.  2 weeks, 4 weeks etc)</t>
  </si>
  <si>
    <t>2 Weeks</t>
  </si>
  <si>
    <t>For information only</t>
  </si>
  <si>
    <t>Phase / Activity</t>
  </si>
  <si>
    <t>Estimated Sprint(s)</t>
  </si>
  <si>
    <t>Resource Roles</t>
  </si>
  <si>
    <t># of Resources</t>
  </si>
  <si>
    <t>Discovery &amp; Planning</t>
  </si>
  <si>
    <t>Requirement analysis, architecture design</t>
  </si>
  <si>
    <t>Data Architect (DA), Senior Data Engineer (SDE)</t>
  </si>
  <si>
    <t>1 DA, 1 SDE</t>
  </si>
  <si>
    <t>Data Platform Setup</t>
  </si>
  <si>
    <t>Initial configuration &amp; provisioning</t>
  </si>
  <si>
    <t>Cloud Architect (CA), Senior Platform Engineer (SPE)</t>
  </si>
  <si>
    <t>1 CA, 1 SPE</t>
  </si>
  <si>
    <t>Build / Migrate</t>
  </si>
  <si>
    <t>Conversion of SSIS Packages, Unit Testing</t>
  </si>
  <si>
    <t>Data Engineer (DE), Senior Data Engineer (SDE)</t>
  </si>
  <si>
    <t>5 DE, 5 SDE</t>
  </si>
  <si>
    <t>Testing &amp; Validation</t>
  </si>
  <si>
    <t>Unit/system/UAT testing</t>
  </si>
  <si>
    <t>Training &amp; Documentation</t>
  </si>
  <si>
    <t>Knowledge transfer, SOPs</t>
  </si>
  <si>
    <t>Go-Live &amp; Hypercare</t>
  </si>
  <si>
    <t>Support after go-live</t>
  </si>
  <si>
    <t>Project Management</t>
  </si>
  <si>
    <t>(Length of Project)</t>
  </si>
  <si>
    <t>Project Manager (PM)</t>
  </si>
  <si>
    <t xml:space="preserve">Business Analyst </t>
  </si>
  <si>
    <t>Business Analyst (BA)</t>
  </si>
  <si>
    <t>1 BA</t>
  </si>
  <si>
    <t xml:space="preserve">Data entry field is coloured yellow. </t>
  </si>
  <si>
    <r>
      <rPr>
        <sz val="11"/>
        <color theme="1"/>
        <rFont val="Calibri"/>
      </rPr>
      <t>Request is for fixed price model -</t>
    </r>
    <r>
      <rPr>
        <b/>
        <sz val="11"/>
        <color theme="1"/>
        <rFont val="Calibri"/>
      </rPr>
      <t xml:space="preserve"> populate cell $B$1</t>
    </r>
  </si>
  <si>
    <r>
      <rPr>
        <b/>
        <sz val="11"/>
        <color theme="1"/>
        <rFont val="Calibri"/>
      </rPr>
      <t>Columns C:E is for information only</t>
    </r>
    <r>
      <rPr>
        <sz val="11"/>
        <color theme="1"/>
        <rFont val="Calibri"/>
      </rPr>
      <t>, the expectation is that engagment will be fixed price only</t>
    </r>
  </si>
  <si>
    <t xml:space="preserve">Completing rows 6 to 12 are mandatory </t>
  </si>
  <si>
    <t>Role</t>
  </si>
  <si>
    <t>Skill Level</t>
  </si>
  <si>
    <t>Description / Responsibility</t>
  </si>
  <si>
    <t>Vendor / Internal</t>
  </si>
  <si>
    <t>Rate Type</t>
  </si>
  <si>
    <t>Rate ex. gst
(AUD$ per hour)</t>
  </si>
  <si>
    <t>Business Analyst</t>
  </si>
  <si>
    <t>Senior</t>
  </si>
  <si>
    <t>* Conduct Business Analysis Sessions, Prioritise Data Sources, Understand Existing Requirements and Pain Points
* Unit Testing on Source System Conversion
* Comparsion of Existing Source Extraction to New Extraction
* Change Management and Training Materials</t>
  </si>
  <si>
    <t>intelia</t>
  </si>
  <si>
    <t>Daily</t>
  </si>
  <si>
    <t>$1,600</t>
  </si>
  <si>
    <t>Data Architect</t>
  </si>
  <si>
    <t>* Development of System Data Design and Solution Architecture Design
* Assist with Physical Connectivity Setup (On Prem to Cloud)</t>
  </si>
  <si>
    <t>$1,800</t>
  </si>
  <si>
    <t>Project Manager</t>
  </si>
  <si>
    <t>* Managing Resources (both intelia and Epworth) and Timelines for Project
* Status Reporting on Risks/Issues, Timelines and Dependencies
* First Level of Project Issue Resolution</t>
  </si>
  <si>
    <t>Data Engineer</t>
  </si>
  <si>
    <t>Mid</t>
  </si>
  <si>
    <t>* Support the Conversion of Existing SSIS Packages
* Build the Framework for the Full and Delta Load Patterns
* Unit Testing of Converted Pipelines
* Provide Hypercare Support</t>
  </si>
  <si>
    <t>* Lead the Conversion of Existing SSIS Packages with Advanced and/or Bespoke Requirements
* Arcitect and Lead the Build for Framework for the Full and Delta Load Patterns
* Lead the Automation and Efficnency of Conversion Tasks</t>
  </si>
  <si>
    <t>Cloud Architect</t>
  </si>
  <si>
    <t>* Architect the Physical Configuration of Google Components and On-Premise Components for Network and Infrastrucutre Connectivity
* Configure the Automation of Google Components</t>
  </si>
  <si>
    <t>Insert rows as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</si>
</sst>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i/>
      <sz val="12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12"/>
      <color theme="1"/>
      <name val="Calibri"/>
    </font>
    <font>
      <sz val="12"/>
      <color rgb="FF24406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8"/>
      <color theme="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FFFFCC"/>
        <b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5" fillId="4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0" xfId="0" applyFont="1"/>
    <xf numFmtId="0" fontId="2" fillId="4" borderId="3" xfId="0" applyFont="1" applyFill="1" applyBorder="1"/>
    <xf numFmtId="0" fontId="2" fillId="4" borderId="3" xfId="0" applyFont="1" applyFill="1" applyBorder="1" applyAlignment="1">
      <alignment wrapText="1"/>
    </xf>
    <xf numFmtId="0" fontId="6" fillId="2" borderId="3" xfId="0" applyFont="1" applyFill="1" applyBorder="1"/>
    <xf numFmtId="0" fontId="7" fillId="4" borderId="3" xfId="0" applyFont="1" applyFill="1" applyBorder="1"/>
    <xf numFmtId="0" fontId="7" fillId="4" borderId="1" xfId="0" applyFont="1" applyFill="1" applyBorder="1"/>
    <xf numFmtId="0" fontId="6" fillId="2" borderId="1" xfId="0" applyFont="1" applyFill="1" applyBorder="1"/>
    <xf numFmtId="0" fontId="10" fillId="0" borderId="0" xfId="0" applyFont="1"/>
    <xf numFmtId="0" fontId="11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8" fillId="2" borderId="4" xfId="0" applyFont="1" applyFill="1" applyBorder="1" applyAlignment="1">
      <alignment horizontal="center"/>
    </xf>
    <xf numFmtId="0" fontId="9" fillId="0" borderId="5" xfId="0" applyFont="1" applyBorder="1" applyAlignment="1"/>
    <xf numFmtId="0" fontId="9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998"/>
  <sheetViews>
    <sheetView showGridLines="0" workbookViewId="0">
      <selection activeCell="A7" sqref="A7"/>
    </sheetView>
  </sheetViews>
  <sheetFormatPr defaultColWidth="14.42578125" defaultRowHeight="15" customHeight="1"/>
  <cols>
    <col min="1" max="1" width="29.7109375" customWidth="1"/>
    <col min="2" max="2" width="28.140625" customWidth="1"/>
    <col min="3" max="3" width="21.7109375" customWidth="1"/>
    <col min="4" max="4" width="34.42578125" customWidth="1"/>
    <col min="5" max="5" width="30.140625" customWidth="1"/>
    <col min="6" max="6" width="20.7109375" customWidth="1"/>
    <col min="7" max="11" width="9.140625" customWidth="1"/>
    <col min="12" max="12" width="14.42578125" customWidth="1"/>
    <col min="13" max="13" width="64.42578125" customWidth="1"/>
    <col min="14" max="26" width="9.140625" customWidth="1"/>
  </cols>
  <sheetData>
    <row r="1" spans="1:26" ht="15.75" customHeight="1">
      <c r="A1" s="1" t="s">
        <v>0</v>
      </c>
      <c r="B1" s="2"/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8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 t="s">
        <v>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3.950000000000003">
      <c r="A3" s="6" t="s">
        <v>14</v>
      </c>
      <c r="B3" s="7" t="s">
        <v>15</v>
      </c>
      <c r="C3" s="7" t="s">
        <v>16</v>
      </c>
      <c r="D3" s="7" t="s">
        <v>17</v>
      </c>
      <c r="E3" s="8" t="s">
        <v>18</v>
      </c>
      <c r="F3" s="8" t="s">
        <v>19</v>
      </c>
      <c r="G3" s="7">
        <f>1328*12/1000</f>
        <v>15.936</v>
      </c>
      <c r="H3" s="7">
        <f t="shared" ref="H3:K3" si="0">G3*1.2</f>
        <v>19.123200000000001</v>
      </c>
      <c r="I3" s="7">
        <f t="shared" si="0"/>
        <v>22.947839999999999</v>
      </c>
      <c r="J3" s="7">
        <f t="shared" si="0"/>
        <v>27.537407999999999</v>
      </c>
      <c r="K3" s="7">
        <f t="shared" si="0"/>
        <v>33.044889599999998</v>
      </c>
      <c r="L3" s="9">
        <f t="shared" ref="L3:L11" si="1">SUM(G3:K3)</f>
        <v>118.58933759999999</v>
      </c>
      <c r="M3" s="8" t="s">
        <v>20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.950000000000003">
      <c r="A4" s="6" t="s">
        <v>21</v>
      </c>
      <c r="B4" s="7" t="s">
        <v>22</v>
      </c>
      <c r="C4" s="7" t="s">
        <v>16</v>
      </c>
      <c r="D4" s="7" t="s">
        <v>17</v>
      </c>
      <c r="E4" s="8" t="s">
        <v>23</v>
      </c>
      <c r="F4" s="8" t="s">
        <v>24</v>
      </c>
      <c r="G4" s="7">
        <f>1461*12/1000</f>
        <v>17.532</v>
      </c>
      <c r="H4" s="7">
        <f t="shared" ref="H4:K4" si="2">G4*1.2</f>
        <v>21.038399999999999</v>
      </c>
      <c r="I4" s="7">
        <f t="shared" si="2"/>
        <v>25.246079999999999</v>
      </c>
      <c r="J4" s="7">
        <f t="shared" si="2"/>
        <v>30.295295999999997</v>
      </c>
      <c r="K4" s="7">
        <f t="shared" si="2"/>
        <v>36.354355199999993</v>
      </c>
      <c r="L4" s="9">
        <f t="shared" si="1"/>
        <v>130.46613119999998</v>
      </c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.950000000000003">
      <c r="A5" s="6" t="s">
        <v>25</v>
      </c>
      <c r="B5" s="7" t="s">
        <v>26</v>
      </c>
      <c r="C5" s="7" t="s">
        <v>16</v>
      </c>
      <c r="D5" s="7" t="s">
        <v>17</v>
      </c>
      <c r="E5" s="8" t="s">
        <v>27</v>
      </c>
      <c r="F5" s="8" t="s">
        <v>28</v>
      </c>
      <c r="G5" s="7">
        <f>202*12/1000</f>
        <v>2.4239999999999999</v>
      </c>
      <c r="H5" s="7">
        <f t="shared" ref="H5:K5" si="3">G5*1.2</f>
        <v>2.9087999999999998</v>
      </c>
      <c r="I5" s="7">
        <f t="shared" si="3"/>
        <v>3.4905599999999999</v>
      </c>
      <c r="J5" s="7">
        <f t="shared" si="3"/>
        <v>4.1886719999999995</v>
      </c>
      <c r="K5" s="7">
        <f t="shared" si="3"/>
        <v>5.0264063999999991</v>
      </c>
      <c r="L5" s="9">
        <f t="shared" si="1"/>
        <v>18.038438399999997</v>
      </c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7.100000000000001">
      <c r="A6" s="6" t="s">
        <v>29</v>
      </c>
      <c r="B6" s="7" t="s">
        <v>30</v>
      </c>
      <c r="C6" s="7" t="s">
        <v>16</v>
      </c>
      <c r="D6" s="7" t="s">
        <v>17</v>
      </c>
      <c r="E6" s="8" t="s">
        <v>31</v>
      </c>
      <c r="F6" s="8">
        <v>5000</v>
      </c>
      <c r="G6" s="7">
        <f>367*12/1000</f>
        <v>4.4039999999999999</v>
      </c>
      <c r="H6" s="7">
        <f t="shared" ref="H6:K6" si="4">G6*1.2</f>
        <v>5.2847999999999997</v>
      </c>
      <c r="I6" s="7">
        <f t="shared" si="4"/>
        <v>6.3417599999999998</v>
      </c>
      <c r="J6" s="7">
        <f t="shared" si="4"/>
        <v>7.6101119999999991</v>
      </c>
      <c r="K6" s="7">
        <f t="shared" si="4"/>
        <v>9.1321343999999982</v>
      </c>
      <c r="L6" s="9">
        <f t="shared" si="1"/>
        <v>32.7728064</v>
      </c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3.950000000000003">
      <c r="A7" s="6" t="s">
        <v>32</v>
      </c>
      <c r="B7" s="7" t="s">
        <v>33</v>
      </c>
      <c r="C7" s="7" t="s">
        <v>16</v>
      </c>
      <c r="D7" s="7" t="s">
        <v>17</v>
      </c>
      <c r="E7" s="8" t="s">
        <v>34</v>
      </c>
      <c r="F7" s="8" t="s">
        <v>35</v>
      </c>
      <c r="G7" s="7">
        <f>504*12/1000</f>
        <v>6.048</v>
      </c>
      <c r="H7" s="7">
        <f t="shared" ref="H7:K7" si="5">G7*1.2</f>
        <v>7.2576000000000001</v>
      </c>
      <c r="I7" s="7">
        <f t="shared" si="5"/>
        <v>8.7091200000000004</v>
      </c>
      <c r="J7" s="7">
        <f t="shared" si="5"/>
        <v>10.450944</v>
      </c>
      <c r="K7" s="7">
        <f t="shared" si="5"/>
        <v>12.5411328</v>
      </c>
      <c r="L7" s="9">
        <f t="shared" si="1"/>
        <v>45.006796800000004</v>
      </c>
      <c r="M7" s="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.950000000000003">
      <c r="A8" s="6" t="s">
        <v>36</v>
      </c>
      <c r="B8" s="7" t="s">
        <v>37</v>
      </c>
      <c r="C8" s="7" t="s">
        <v>16</v>
      </c>
      <c r="D8" s="7" t="s">
        <v>17</v>
      </c>
      <c r="E8" s="8" t="s">
        <v>37</v>
      </c>
      <c r="F8" s="8"/>
      <c r="G8" s="7"/>
      <c r="H8" s="7">
        <f t="shared" ref="H8:K8" si="6">G8*1.2</f>
        <v>0</v>
      </c>
      <c r="I8" s="7">
        <f t="shared" si="6"/>
        <v>0</v>
      </c>
      <c r="J8" s="7">
        <f t="shared" si="6"/>
        <v>0</v>
      </c>
      <c r="K8" s="7">
        <f t="shared" si="6"/>
        <v>0</v>
      </c>
      <c r="L8" s="9">
        <f t="shared" si="1"/>
        <v>0</v>
      </c>
      <c r="M8" s="8" t="s">
        <v>38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7.100000000000001">
      <c r="A9" s="6" t="s">
        <v>39</v>
      </c>
      <c r="B9" s="7" t="s">
        <v>40</v>
      </c>
      <c r="C9" s="7" t="s">
        <v>16</v>
      </c>
      <c r="D9" s="7" t="s">
        <v>41</v>
      </c>
      <c r="E9" s="8" t="s">
        <v>37</v>
      </c>
      <c r="F9" s="8"/>
      <c r="G9" s="7">
        <f>156*12/1000</f>
        <v>1.8720000000000001</v>
      </c>
      <c r="H9" s="7">
        <f t="shared" ref="H9:K9" si="7">G9*1.2</f>
        <v>2.2464</v>
      </c>
      <c r="I9" s="7">
        <f t="shared" si="7"/>
        <v>2.6956799999999999</v>
      </c>
      <c r="J9" s="7">
        <f t="shared" si="7"/>
        <v>3.2348159999999999</v>
      </c>
      <c r="K9" s="7">
        <f t="shared" si="7"/>
        <v>3.8817791999999995</v>
      </c>
      <c r="L9" s="9">
        <f t="shared" si="1"/>
        <v>13.9306752</v>
      </c>
      <c r="M9" s="8" t="s">
        <v>42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100000000000001">
      <c r="A10" s="6" t="s">
        <v>43</v>
      </c>
      <c r="B10" s="7" t="s">
        <v>44</v>
      </c>
      <c r="C10" s="7" t="s">
        <v>16</v>
      </c>
      <c r="D10" s="7" t="s">
        <v>17</v>
      </c>
      <c r="E10" s="8" t="s">
        <v>45</v>
      </c>
      <c r="F10" s="8" t="s">
        <v>46</v>
      </c>
      <c r="G10" s="7">
        <f>57*12/1000</f>
        <v>0.68400000000000005</v>
      </c>
      <c r="H10" s="7">
        <f t="shared" ref="H10:K10" si="8">G10*1.2</f>
        <v>0.82080000000000009</v>
      </c>
      <c r="I10" s="7">
        <f t="shared" si="8"/>
        <v>0.98496000000000006</v>
      </c>
      <c r="J10" s="7">
        <f t="shared" si="8"/>
        <v>1.1819520000000001</v>
      </c>
      <c r="K10" s="7">
        <f t="shared" si="8"/>
        <v>1.4183424</v>
      </c>
      <c r="L10" s="9">
        <f t="shared" si="1"/>
        <v>5.0900544000000005</v>
      </c>
      <c r="M10" s="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9" t="s">
        <v>47</v>
      </c>
      <c r="B11" s="2"/>
      <c r="C11" s="2"/>
      <c r="D11" s="2"/>
      <c r="E11" s="3"/>
      <c r="F11" s="3"/>
      <c r="G11" s="9">
        <f t="shared" ref="G11:K11" si="9">SUM(G3:G10)</f>
        <v>48.900000000000006</v>
      </c>
      <c r="H11" s="9">
        <f t="shared" si="9"/>
        <v>58.679999999999993</v>
      </c>
      <c r="I11" s="9">
        <f t="shared" si="9"/>
        <v>70.415999999999997</v>
      </c>
      <c r="J11" s="9">
        <f t="shared" si="9"/>
        <v>84.499199999999973</v>
      </c>
      <c r="K11" s="9">
        <f t="shared" si="9"/>
        <v>101.39903999999999</v>
      </c>
      <c r="L11" s="9">
        <f t="shared" si="1"/>
        <v>363.89423999999997</v>
      </c>
      <c r="M11" s="8" t="s">
        <v>48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3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0" t="s">
        <v>49</v>
      </c>
      <c r="B14" s="2"/>
      <c r="C14" s="2"/>
      <c r="D14" s="2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1" t="s">
        <v>50</v>
      </c>
      <c r="B15" s="11"/>
      <c r="C15" s="11"/>
      <c r="D15" s="11"/>
      <c r="E15" s="1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 t="s">
        <v>51</v>
      </c>
      <c r="B16" s="2"/>
      <c r="C16" s="2"/>
      <c r="D16" s="2"/>
      <c r="E16" s="3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 t="s">
        <v>52</v>
      </c>
      <c r="B17" s="2"/>
      <c r="C17" s="2"/>
      <c r="D17" s="2"/>
      <c r="E17" s="3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 t="s">
        <v>53</v>
      </c>
      <c r="B18" s="2"/>
      <c r="C18" s="2"/>
      <c r="D18" s="2"/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 t="s">
        <v>54</v>
      </c>
      <c r="B19" s="2"/>
      <c r="C19" s="2"/>
      <c r="D19" s="2"/>
      <c r="E19" s="3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 t="s">
        <v>55</v>
      </c>
      <c r="B20" s="2"/>
      <c r="C20" s="2"/>
      <c r="D20" s="2"/>
      <c r="E20" s="3"/>
      <c r="F20" s="3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3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3"/>
      <c r="F22" s="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3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3"/>
      <c r="F24" s="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3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3"/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3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3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3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3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3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3"/>
      <c r="F32" s="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3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3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3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3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3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3"/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3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3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3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3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3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3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3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E1000"/>
  <sheetViews>
    <sheetView showGridLines="0" tabSelected="1" workbookViewId="0">
      <selection activeCell="A6" sqref="A6"/>
    </sheetView>
  </sheetViews>
  <sheetFormatPr defaultColWidth="14.42578125" defaultRowHeight="15" customHeight="1"/>
  <cols>
    <col min="1" max="1" width="46" customWidth="1"/>
    <col min="2" max="2" width="39.140625" customWidth="1"/>
    <col min="3" max="3" width="19.42578125" customWidth="1"/>
    <col min="4" max="4" width="45.42578125" customWidth="1"/>
    <col min="5" max="5" width="19" customWidth="1"/>
    <col min="6" max="26" width="8.7109375" customWidth="1"/>
  </cols>
  <sheetData>
    <row r="1" spans="1:5" ht="15.95">
      <c r="A1" s="1" t="s">
        <v>0</v>
      </c>
    </row>
    <row r="2" spans="1:5">
      <c r="A2" s="13" t="s">
        <v>56</v>
      </c>
      <c r="B2" s="14" t="s">
        <v>57</v>
      </c>
    </row>
    <row r="3" spans="1:5">
      <c r="A3" s="13" t="s">
        <v>58</v>
      </c>
      <c r="B3" s="15" t="s">
        <v>59</v>
      </c>
    </row>
    <row r="4" spans="1:5">
      <c r="C4" s="22" t="s">
        <v>60</v>
      </c>
      <c r="D4" s="23"/>
      <c r="E4" s="24"/>
    </row>
    <row r="5" spans="1:5">
      <c r="A5" s="16" t="s">
        <v>61</v>
      </c>
      <c r="B5" s="16" t="s">
        <v>2</v>
      </c>
      <c r="C5" s="16" t="s">
        <v>62</v>
      </c>
      <c r="D5" s="16" t="s">
        <v>63</v>
      </c>
      <c r="E5" s="16" t="s">
        <v>64</v>
      </c>
    </row>
    <row r="6" spans="1:5">
      <c r="A6" s="15" t="s">
        <v>65</v>
      </c>
      <c r="B6" s="15" t="s">
        <v>66</v>
      </c>
      <c r="C6" s="15">
        <v>4</v>
      </c>
      <c r="D6" s="15" t="s">
        <v>67</v>
      </c>
      <c r="E6" s="15" t="s">
        <v>68</v>
      </c>
    </row>
    <row r="7" spans="1:5">
      <c r="A7" s="15" t="s">
        <v>69</v>
      </c>
      <c r="B7" s="15" t="s">
        <v>70</v>
      </c>
      <c r="C7" s="15">
        <v>3</v>
      </c>
      <c r="D7" s="15" t="s">
        <v>71</v>
      </c>
      <c r="E7" s="15" t="s">
        <v>72</v>
      </c>
    </row>
    <row r="8" spans="1:5">
      <c r="A8" s="15" t="s">
        <v>73</v>
      </c>
      <c r="B8" s="15" t="s">
        <v>74</v>
      </c>
      <c r="C8" s="15">
        <v>5</v>
      </c>
      <c r="D8" s="15" t="s">
        <v>75</v>
      </c>
      <c r="E8" s="15" t="s">
        <v>76</v>
      </c>
    </row>
    <row r="9" spans="1:5">
      <c r="A9" s="15" t="s">
        <v>77</v>
      </c>
      <c r="B9" s="15" t="s">
        <v>78</v>
      </c>
      <c r="C9" s="15">
        <v>10</v>
      </c>
      <c r="D9" s="15" t="s">
        <v>75</v>
      </c>
      <c r="E9" s="15" t="s">
        <v>68</v>
      </c>
    </row>
    <row r="10" spans="1:5">
      <c r="A10" s="15" t="s">
        <v>79</v>
      </c>
      <c r="B10" s="15" t="s">
        <v>80</v>
      </c>
      <c r="C10" s="15">
        <v>6</v>
      </c>
      <c r="D10" s="15" t="s">
        <v>75</v>
      </c>
      <c r="E10" s="15" t="s">
        <v>68</v>
      </c>
    </row>
    <row r="11" spans="1:5">
      <c r="A11" s="15" t="s">
        <v>81</v>
      </c>
      <c r="B11" s="15" t="s">
        <v>82</v>
      </c>
      <c r="C11" s="15">
        <v>1</v>
      </c>
      <c r="D11" s="15" t="s">
        <v>75</v>
      </c>
      <c r="E11" s="15" t="s">
        <v>68</v>
      </c>
    </row>
    <row r="12" spans="1:5">
      <c r="A12" s="15" t="s">
        <v>83</v>
      </c>
      <c r="B12" s="15"/>
      <c r="C12" s="15" t="s">
        <v>84</v>
      </c>
      <c r="D12" s="15" t="s">
        <v>85</v>
      </c>
      <c r="E12" s="15" t="str">
        <f>"1 PM"</f>
        <v>1 PM</v>
      </c>
    </row>
    <row r="13" spans="1:5">
      <c r="A13" s="15" t="s">
        <v>43</v>
      </c>
      <c r="B13" s="15" t="s">
        <v>86</v>
      </c>
      <c r="C13" s="15" t="s">
        <v>84</v>
      </c>
      <c r="D13" s="15" t="s">
        <v>87</v>
      </c>
      <c r="E13" s="15" t="s">
        <v>88</v>
      </c>
    </row>
    <row r="16" spans="1:5">
      <c r="A16" s="17" t="s">
        <v>49</v>
      </c>
    </row>
    <row r="17" spans="1:1">
      <c r="A17" s="14" t="s">
        <v>89</v>
      </c>
    </row>
    <row r="18" spans="1:1">
      <c r="A18" s="18" t="s">
        <v>90</v>
      </c>
    </row>
    <row r="19" spans="1:1">
      <c r="A19" s="18" t="s">
        <v>91</v>
      </c>
    </row>
    <row r="20" spans="1:1" ht="15.95">
      <c r="A20" s="2" t="s">
        <v>55</v>
      </c>
    </row>
    <row r="21" spans="1:1" ht="15.75" customHeight="1">
      <c r="A21" s="18" t="s">
        <v>92</v>
      </c>
    </row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4:E4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F992"/>
  <sheetViews>
    <sheetView showGridLines="0" workbookViewId="0">
      <selection activeCell="I2" sqref="I2"/>
    </sheetView>
  </sheetViews>
  <sheetFormatPr defaultColWidth="14.42578125" defaultRowHeight="15" customHeight="1"/>
  <cols>
    <col min="1" max="1" width="21.42578125" customWidth="1"/>
    <col min="2" max="2" width="15.140625" customWidth="1"/>
    <col min="3" max="3" width="62.7109375" customWidth="1"/>
    <col min="4" max="4" width="16.85546875" customWidth="1"/>
    <col min="5" max="6" width="13.42578125" customWidth="1"/>
    <col min="7" max="26" width="8.7109375" customWidth="1"/>
  </cols>
  <sheetData>
    <row r="1" spans="1:6" ht="48">
      <c r="A1" s="19" t="s">
        <v>93</v>
      </c>
      <c r="B1" s="19" t="s">
        <v>94</v>
      </c>
      <c r="C1" s="19" t="s">
        <v>95</v>
      </c>
      <c r="D1" s="19" t="s">
        <v>96</v>
      </c>
      <c r="E1" s="19" t="s">
        <v>97</v>
      </c>
      <c r="F1" s="19" t="s">
        <v>98</v>
      </c>
    </row>
    <row r="2" spans="1:6" s="21" customFormat="1" ht="80.099999999999994">
      <c r="A2" s="20" t="s">
        <v>99</v>
      </c>
      <c r="B2" s="20" t="s">
        <v>100</v>
      </c>
      <c r="C2" s="20" t="s">
        <v>101</v>
      </c>
      <c r="D2" s="20" t="s">
        <v>102</v>
      </c>
      <c r="E2" s="20" t="s">
        <v>103</v>
      </c>
      <c r="F2" s="20" t="s">
        <v>104</v>
      </c>
    </row>
    <row r="3" spans="1:6" s="21" customFormat="1" ht="32.1">
      <c r="A3" s="20" t="s">
        <v>105</v>
      </c>
      <c r="B3" s="20" t="s">
        <v>100</v>
      </c>
      <c r="C3" s="20" t="s">
        <v>106</v>
      </c>
      <c r="D3" s="20" t="s">
        <v>102</v>
      </c>
      <c r="E3" s="20" t="s">
        <v>103</v>
      </c>
      <c r="F3" s="20" t="s">
        <v>107</v>
      </c>
    </row>
    <row r="4" spans="1:6" s="21" customFormat="1" ht="48">
      <c r="A4" s="20" t="s">
        <v>108</v>
      </c>
      <c r="B4" s="20" t="s">
        <v>100</v>
      </c>
      <c r="C4" s="20" t="s">
        <v>109</v>
      </c>
      <c r="D4" s="20" t="s">
        <v>102</v>
      </c>
      <c r="E4" s="20" t="s">
        <v>103</v>
      </c>
      <c r="F4" s="20" t="s">
        <v>107</v>
      </c>
    </row>
    <row r="5" spans="1:6" s="21" customFormat="1" ht="63.95">
      <c r="A5" s="20" t="s">
        <v>110</v>
      </c>
      <c r="B5" s="20" t="s">
        <v>111</v>
      </c>
      <c r="C5" s="20" t="s">
        <v>112</v>
      </c>
      <c r="D5" s="20" t="s">
        <v>102</v>
      </c>
      <c r="E5" s="20" t="s">
        <v>103</v>
      </c>
      <c r="F5" s="20" t="s">
        <v>104</v>
      </c>
    </row>
    <row r="6" spans="1:6" s="21" customFormat="1" ht="63.95">
      <c r="A6" s="20" t="s">
        <v>110</v>
      </c>
      <c r="B6" s="20" t="s">
        <v>100</v>
      </c>
      <c r="C6" s="20" t="s">
        <v>113</v>
      </c>
      <c r="D6" s="20" t="s">
        <v>102</v>
      </c>
      <c r="E6" s="20" t="s">
        <v>103</v>
      </c>
      <c r="F6" s="20" t="s">
        <v>107</v>
      </c>
    </row>
    <row r="7" spans="1:6" s="21" customFormat="1" ht="48">
      <c r="A7" s="20" t="s">
        <v>114</v>
      </c>
      <c r="B7" s="20" t="s">
        <v>100</v>
      </c>
      <c r="C7" s="20" t="s">
        <v>115</v>
      </c>
      <c r="D7" s="20" t="s">
        <v>102</v>
      </c>
      <c r="E7" s="20" t="s">
        <v>103</v>
      </c>
      <c r="F7" s="20" t="s">
        <v>107</v>
      </c>
    </row>
    <row r="8" spans="1:6" s="21" customFormat="1">
      <c r="A8" s="20"/>
      <c r="B8" s="20"/>
      <c r="C8" s="20"/>
      <c r="D8" s="20"/>
      <c r="E8" s="20"/>
      <c r="F8" s="20"/>
    </row>
    <row r="10" spans="1:6">
      <c r="A10" s="17" t="s">
        <v>49</v>
      </c>
    </row>
    <row r="11" spans="1:6">
      <c r="A11" s="18" t="s">
        <v>116</v>
      </c>
    </row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2df572-a05a-4d7a-b405-ea907adc8ef1" xsi:nil="true"/>
    <lcf76f155ced4ddcb4097134ff3c332f xmlns="1b9c1699-ebf9-4367-a19b-a2ba34f3551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4055F950154B4BB8632548C1CBB0E6" ma:contentTypeVersion="16" ma:contentTypeDescription="Create a new document." ma:contentTypeScope="" ma:versionID="afe6fb020ca010385eee4ed7effa1aad">
  <xsd:schema xmlns:xsd="http://www.w3.org/2001/XMLSchema" xmlns:xs="http://www.w3.org/2001/XMLSchema" xmlns:p="http://schemas.microsoft.com/office/2006/metadata/properties" xmlns:ns2="1b9c1699-ebf9-4367-a19b-a2ba34f35519" xmlns:ns3="552df572-a05a-4d7a-b405-ea907adc8ef1" targetNamespace="http://schemas.microsoft.com/office/2006/metadata/properties" ma:root="true" ma:fieldsID="3b8a228cc97967bcff58bc264716cc2b" ns2:_="" ns3:_="">
    <xsd:import namespace="1b9c1699-ebf9-4367-a19b-a2ba34f35519"/>
    <xsd:import namespace="552df572-a05a-4d7a-b405-ea907adc8e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9c1699-ebf9-4367-a19b-a2ba34f35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7d36a7d-b0e2-49af-8978-949f681152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df572-a05a-4d7a-b405-ea907adc8ef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219a893-e60a-465a-8ba3-77ab026a152f}" ma:internalName="TaxCatchAll" ma:showField="CatchAllData" ma:web="552df572-a05a-4d7a-b405-ea907adc8e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4747A1-B7D7-4440-858B-0F8F2DD3EBA5}"/>
</file>

<file path=customXml/itemProps2.xml><?xml version="1.0" encoding="utf-8"?>
<ds:datastoreItem xmlns:ds="http://schemas.openxmlformats.org/officeDocument/2006/customXml" ds:itemID="{E1F1C820-6F26-4A9D-8244-5979D7C603D3}"/>
</file>

<file path=customXml/itemProps3.xml><?xml version="1.0" encoding="utf-8"?>
<ds:datastoreItem xmlns:ds="http://schemas.openxmlformats.org/officeDocument/2006/customXml" ds:itemID="{3E59D661-6BAE-4E10-954F-AEA02BAE7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Mark Cooper</cp:lastModifiedBy>
  <cp:revision/>
  <dcterms:created xsi:type="dcterms:W3CDTF">2025-04-11T06:05:33Z</dcterms:created>
  <dcterms:modified xsi:type="dcterms:W3CDTF">2025-06-17T01:19:35Z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0x0101003E4055F950154B4BB8632548C1CBB0E6</vt:lpwstr>
  </property>
  <property fmtid="{D5CDD505-2E9C-101B-9397-08002B2CF9AE}" pid="3" name="MediaServiceImageTags">
    <vt:lpwstr/>
  </property>
</Properties>
</file>